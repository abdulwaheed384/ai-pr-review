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Deliverables" sheetId="2" state="visible" r:id="rId4"/>
    <sheet name="AB Inputs" sheetId="3" state="visible" r:id="rId5"/>
    <sheet name="Word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<sst xmlns="http://schemas.openxmlformats.org/spreadsheetml/2006/main" count="203" uniqueCount="140">
  <si>
    <t xml:space="preserve">PROM06 Assignment 2 — project plan</t>
  </si>
  <si>
    <t xml:space="preserve">Updated 13 Oct 2026, 18:10. Deadline taken as 26 Oct 2026 23:59 from the Canvas export (AB chose not to re-check); target submission 25 Oct. Template formatting follows the template headings held as text. Blue cells editable; summary counts are formulas.</t>
  </si>
  <si>
    <t xml:space="preserve">#</t>
  </si>
  <si>
    <t xml:space="preserve">Phase</t>
  </si>
  <si>
    <t xml:space="preserve">Milestone</t>
  </si>
  <si>
    <t xml:space="preserve">Deliverable</t>
  </si>
  <si>
    <t xml:space="preserve">Start</t>
  </si>
  <si>
    <t xml:space="preserve">Finish</t>
  </si>
  <si>
    <t xml:space="preserve">Owner</t>
  </si>
  <si>
    <t xml:space="preserve">Status</t>
  </si>
  <si>
    <t xml:space="preserve">Notes</t>
  </si>
  <si>
    <t xml:space="preserve">Evidence</t>
  </si>
  <si>
    <t xml:space="preserve">Source review + repository</t>
  </si>
  <si>
    <t xml:space="preserve">Project memory, source docs 00–12</t>
  </si>
  <si>
    <t xml:space="preserve">Claude</t>
  </si>
  <si>
    <t xml:space="preserve">Done</t>
  </si>
  <si>
    <t xml:space="preserve">Independent reruns TC01–TC12 (3 runs each)</t>
  </si>
  <si>
    <t xml:space="preserve">PRs #70–#81, 37 runs, artefacts</t>
  </si>
  <si>
    <t xml:space="preserve">Claude + AB</t>
  </si>
  <si>
    <t xml:space="preserve">AB downloaded artefacts</t>
  </si>
  <si>
    <t xml:space="preserve">Verified results matrix + decisions D2–D11</t>
  </si>
  <si>
    <t xml:space="preserve">Results workbook: Verified Matrix, Decisions &amp; Caveats</t>
  </si>
  <si>
    <t xml:space="preserve">Decisions agreed by AB</t>
  </si>
  <si>
    <t xml:space="preserve">TC13–TC15 added and verified</t>
  </si>
  <si>
    <t xml:space="preserve">Ground truth (commit cbda52c), PRs #82–#84, 9 runs</t>
  </si>
  <si>
    <t xml:space="preserve">AI quality scoring (46 runs)</t>
  </si>
  <si>
    <t xml:space="preserve">AI Quality Scoring, Scoring Rules, Inter-rater Check sheets</t>
  </si>
  <si>
    <t xml:space="preserve">Single-rater (AI assistant); no inter-rater check — AB decision 13 Oct</t>
  </si>
  <si>
    <t xml:space="preserve">Metrics, timing, remediation validation</t>
  </si>
  <si>
    <t xml:space="preserve">Metrics, Timing, Remediation Validation sheets; PRs #85–#100</t>
  </si>
  <si>
    <t xml:space="preserve">Evidence register + figures</t>
  </si>
  <si>
    <t xml:space="preserve">Evidence Register (36 claims), 6 figures at 300 dpi</t>
  </si>
  <si>
    <t xml:space="preserve">Dissertation</t>
  </si>
  <si>
    <t xml:space="preserve">Ch3 Practical Research Methodology (2,100 words)</t>
  </si>
  <si>
    <t xml:space="preserve">Chapter 3 draft</t>
  </si>
  <si>
    <t xml:space="preserve">Draft v1 delivered 13 Oct (2,197 words); awaiting AB review; ethics/AI declaration placeholder</t>
  </si>
  <si>
    <t xml:space="preserve">Ch4 Analysis of Results (2,500 words)</t>
  </si>
  <si>
    <t xml:space="preserve">Chapter 4 draft with tables/figures</t>
  </si>
  <si>
    <t xml:space="preserve">In progress</t>
  </si>
  <si>
    <t xml:space="preserve">Draft v1 delivered 13 Oct (2,250 words); inter-rater paragraph pending AB scores</t>
  </si>
  <si>
    <t xml:space="preserve">Ch2 Literature Review (2,700 words)</t>
  </si>
  <si>
    <t xml:space="preserve">Chapter 2 draft (from A1 review)</t>
  </si>
  <si>
    <t xml:space="preserve">Draft v1 delivered 13 Oct (2,411 words); A1 citation errors corrected; reference details to finalise in audit</t>
  </si>
  <si>
    <t xml:space="preserve">Ch5 Project Evaluation and Reflection (1,100 words)</t>
  </si>
  <si>
    <t xml:space="preserve">Chapter 5 draft</t>
  </si>
  <si>
    <t xml:space="preserve">Draft v1 13 Oct (1,343 words); reflection drafted from project record — AB to edit; one [AB] placeholder</t>
  </si>
  <si>
    <t xml:space="preserve">Ch6 (550), Ch1 (800), Abstract (250)</t>
  </si>
  <si>
    <t xml:space="preserve">Chapters 6, 1 and abstract</t>
  </si>
  <si>
    <t xml:space="preserve">Drafts v1 13 Oct: Ch6 703, Ch1 795, abstract 233 words; RQ1–RQ4 numbered from A1 wording (AB to confirm)</t>
  </si>
  <si>
    <t xml:space="preserve">References + Appendices A–G; full draft to AB</t>
  </si>
  <si>
    <t xml:space="preserve">Complete draft in template</t>
  </si>
  <si>
    <t xml:space="preserve">Full document assembled 13 Oct (111 pages, 10,046 words, Appendices A–G); AB placeholders: supervisor, faculty, signature/date, Ch5.4</t>
  </si>
  <si>
    <t xml:space="preserve">AB review + revisions</t>
  </si>
  <si>
    <t xml:space="preserve">Revised draft</t>
  </si>
  <si>
    <t xml:space="preserve">AB + Claude</t>
  </si>
  <si>
    <t xml:space="preserve">Next</t>
  </si>
  <si>
    <t xml:space="preserve">Presentation</t>
  </si>
  <si>
    <t xml:space="preserve">Slides (max 10) + timed script</t>
  </si>
  <si>
    <t xml:space="preserve">Slide deck + speaker script (12–13 min)</t>
  </si>
  <si>
    <t xml:space="preserve">Record presentation (10–15 min)</t>
  </si>
  <si>
    <t xml:space="preserve">MP4/AVI/PPTX recording</t>
  </si>
  <si>
    <t xml:space="preserve">AB</t>
  </si>
  <si>
    <t xml:space="preserve">To do</t>
  </si>
  <si>
    <t xml:space="preserve">QA</t>
  </si>
  <si>
    <t xml:space="preserve">Final QA: consistency, references, word count, format, PDF</t>
  </si>
  <si>
    <t xml:space="preserve">QA checklist, final PDF</t>
  </si>
  <si>
    <t xml:space="preserve">Submission</t>
  </si>
  <si>
    <t xml:space="preserve">Submit dissertation PDF + recording</t>
  </si>
  <si>
    <t xml:space="preserve">Turnitin submission</t>
  </si>
  <si>
    <t xml:space="preserve">Deadline 26 Oct 23:59 (confirm)</t>
  </si>
  <si>
    <t xml:space="preserve">Close-out</t>
  </si>
  <si>
    <t xml:space="preserve">Close test PRs #56–#68, #70–#100 unmerged</t>
  </si>
  <si>
    <t xml:space="preserve">Clean repository</t>
  </si>
  <si>
    <t xml:space="preserve">Claude (AB approval)</t>
  </si>
  <si>
    <t xml:space="preserve">After submission</t>
  </si>
  <si>
    <t xml:space="preserve">Summary</t>
  </si>
  <si>
    <t xml:space="preserve">Milestones</t>
  </si>
  <si>
    <t xml:space="preserve">In progress / next</t>
  </si>
  <si>
    <t xml:space="preserve">Complete (%)</t>
  </si>
  <si>
    <t xml:space="preserve">Days to target submission (from today)</t>
  </si>
  <si>
    <t xml:space="preserve">Submission deliverables</t>
  </si>
  <si>
    <t xml:space="preserve">Format</t>
  </si>
  <si>
    <t xml:space="preserve">Requirement / content</t>
  </si>
  <si>
    <t xml:space="preserve">Due</t>
  </si>
  <si>
    <t xml:space="preserve">PDF via Turnitin; official template</t>
  </si>
  <si>
    <t xml:space="preserve">9,000–11,000 words incl. abstract; excludes references, figures, tables, appendices</t>
  </si>
  <si>
    <t xml:space="preserve">Recorded presentation</t>
  </si>
  <si>
    <t xml:space="preserve">MP4/AVI/PPTX</t>
  </si>
  <si>
    <t xml:space="preserve">10–15 minutes; max 10 slides</t>
  </si>
  <si>
    <t xml:space="preserve">Results workbook</t>
  </si>
  <si>
    <t xml:space="preserve">XLSX (supporting evidence, appendix E source)</t>
  </si>
  <si>
    <t xml:space="preserve">Verified matrix, metrics, scoring, register</t>
  </si>
  <si>
    <t xml:space="preserve">Evidence archive</t>
  </si>
  <si>
    <t xml:space="preserve">GitHub branch prom06-evidence</t>
  </si>
  <si>
    <t xml:space="preserve">Raw artefacts, scans, PR comments, logs, figures, scripts</t>
  </si>
  <si>
    <t xml:space="preserve">Figures</t>
  </si>
  <si>
    <t xml:space="preserve">PNG, 300 dpi</t>
  </si>
  <si>
    <t xml:space="preserve">6 figures (architecture, detection matrix, rates, AI quality, timing, remediation)</t>
  </si>
  <si>
    <t xml:space="preserve">Screenshots</t>
  </si>
  <si>
    <t xml:space="preserve">PNG from GitHub</t>
  </si>
  <si>
    <t xml:space="preserve">8 screenshots (S1–S8)</t>
  </si>
  <si>
    <t xml:space="preserve">Pending AB</t>
  </si>
  <si>
    <t xml:space="preserve">Inputs needed from AB</t>
  </si>
  <si>
    <t xml:space="preserve">Item</t>
  </si>
  <si>
    <t xml:space="preserve">Why it is needed</t>
  </si>
  <si>
    <t xml:space="preserve">Needed by</t>
  </si>
  <si>
    <t xml:space="preserve">TC13–TC15 artefacts</t>
  </si>
  <si>
    <t xml:space="preserve">Verify metadata, confirm results, score runs</t>
  </si>
  <si>
    <t xml:space="preserve">terraform validate log (run 38412955313)</t>
  </si>
  <si>
    <t xml:space="preserve">Evidence for invalid AI tag fix</t>
  </si>
  <si>
    <t xml:space="preserve">Official template (.docx)</t>
  </si>
  <si>
    <t xml:space="preserve">Write chapters directly into the template — AB: ignore (13 Oct)</t>
  </si>
  <si>
    <t xml:space="preserve">Not needed</t>
  </si>
  <si>
    <t xml:space="preserve">Confirm deadline on live Canvas</t>
  </si>
  <si>
    <t xml:space="preserve">Schedule depends on it — AB: ignore (13 Oct)</t>
  </si>
  <si>
    <t xml:space="preserve">Inter-rater scores (10 runs, blind)</t>
  </si>
  <si>
    <t xml:space="preserve">AB decided not to score (13 Oct); single-rater scoring disclosed as a limitation</t>
  </si>
  <si>
    <t xml:space="preserve">Figures in Ch4, Appendix F</t>
  </si>
  <si>
    <t xml:space="preserve">Reflection bullets</t>
  </si>
  <si>
    <t xml:space="preserve">Claude drafts from the documented project record; AB must review and edit so it is his own</t>
  </si>
  <si>
    <t xml:space="preserve">Ethics approval status / reference</t>
  </si>
  <si>
    <t xml:space="preserve">AB: formal ethics approval not required (13 Oct)</t>
  </si>
  <si>
    <t xml:space="preserve">Original PROM04 proposal file</t>
  </si>
  <si>
    <t xml:space="preserve">Appendix A</t>
  </si>
  <si>
    <t xml:space="preserve">Confluence fix yes/no</t>
  </si>
  <si>
    <t xml:space="preserve">Corrects 'independent' wording and TC11 heading — AB: ignore (13 Oct)</t>
  </si>
  <si>
    <t xml:space="preserve">Word allocation (agreed 13 Oct 2026)</t>
  </si>
  <si>
    <t xml:space="preserve">Section</t>
  </si>
  <si>
    <t xml:space="preserve">Target words</t>
  </si>
  <si>
    <t xml:space="preserve">Actual words</t>
  </si>
  <si>
    <t xml:space="preserve">Difference</t>
  </si>
  <si>
    <t xml:space="preserve">Abstract</t>
  </si>
  <si>
    <t xml:space="preserve">Ch1 Introduction</t>
  </si>
  <si>
    <t xml:space="preserve">Ch2 Literature Review</t>
  </si>
  <si>
    <t xml:space="preserve">Ch3 Practical Research Methodology</t>
  </si>
  <si>
    <t xml:space="preserve">Ch4 Analysis of Results</t>
  </si>
  <si>
    <t xml:space="preserve">Ch5 Project Evaluation and Reflection</t>
  </si>
  <si>
    <t xml:space="preserve">Ch6 Conclusion and Recommendations</t>
  </si>
  <si>
    <t xml:space="preserve">Total</t>
  </si>
  <si>
    <t xml:space="preserve">Allowed range 9,000–11,000 (incl. abstract). Fill 'Actual words' as chapters are drafted.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</si>
</sst>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d\ mmm\ yyyy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FFFF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4" min="3" style="1" width="44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36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n">
        <v>1</v>
      </c>
      <c r="B5" s="5" t="s">
        <v>11</v>
      </c>
      <c r="C5" s="5" t="s">
        <v>12</v>
      </c>
      <c r="D5" s="5" t="s">
        <v>13</v>
      </c>
      <c r="E5" s="6" t="n">
        <v>46308</v>
      </c>
      <c r="F5" s="6" t="n">
        <v>46308</v>
      </c>
      <c r="G5" s="7" t="s">
        <v>14</v>
      </c>
      <c r="H5" s="7" t="s">
        <v>15</v>
      </c>
      <c r="I5" s="7"/>
    </row>
    <row r="6" customFormat="false" ht="15" hidden="false" customHeight="true" outlineLevel="0" collapsed="false">
      <c r="A6" s="5" t="n">
        <v>2</v>
      </c>
      <c r="B6" s="5" t="s">
        <v>11</v>
      </c>
      <c r="C6" s="5" t="s">
        <v>16</v>
      </c>
      <c r="D6" s="5" t="s">
        <v>17</v>
      </c>
      <c r="E6" s="6" t="n">
        <v>46308</v>
      </c>
      <c r="F6" s="6" t="n">
        <v>46308</v>
      </c>
      <c r="G6" s="7" t="s">
        <v>18</v>
      </c>
      <c r="H6" s="7" t="s">
        <v>15</v>
      </c>
      <c r="I6" s="7" t="s">
        <v>19</v>
      </c>
    </row>
    <row r="7" customFormat="false" ht="26.25" hidden="false" customHeight="true" outlineLevel="0" collapsed="false">
      <c r="A7" s="5" t="n">
        <v>3</v>
      </c>
      <c r="B7" s="5" t="s">
        <v>11</v>
      </c>
      <c r="C7" s="5" t="s">
        <v>20</v>
      </c>
      <c r="D7" s="5" t="s">
        <v>21</v>
      </c>
      <c r="E7" s="6" t="n">
        <v>46308</v>
      </c>
      <c r="F7" s="6" t="n">
        <v>46308</v>
      </c>
      <c r="G7" s="7" t="s">
        <v>18</v>
      </c>
      <c r="H7" s="7" t="s">
        <v>15</v>
      </c>
      <c r="I7" s="7" t="s">
        <v>22</v>
      </c>
    </row>
    <row r="8" customFormat="false" ht="26.25" hidden="false" customHeight="true" outlineLevel="0" collapsed="false">
      <c r="A8" s="5" t="n">
        <v>4</v>
      </c>
      <c r="B8" s="5" t="s">
        <v>11</v>
      </c>
      <c r="C8" s="5" t="s">
        <v>23</v>
      </c>
      <c r="D8" s="5" t="s">
        <v>24</v>
      </c>
      <c r="E8" s="6" t="n">
        <v>46308</v>
      </c>
      <c r="F8" s="6" t="n">
        <v>46308</v>
      </c>
      <c r="G8" s="7" t="s">
        <v>18</v>
      </c>
      <c r="H8" s="7" t="s">
        <v>15</v>
      </c>
      <c r="I8" s="7"/>
    </row>
    <row r="9" customFormat="false" ht="26.25" hidden="false" customHeight="true" outlineLevel="0" collapsed="false">
      <c r="A9" s="5" t="n">
        <v>5</v>
      </c>
      <c r="B9" s="5" t="s">
        <v>11</v>
      </c>
      <c r="C9" s="5" t="s">
        <v>25</v>
      </c>
      <c r="D9" s="5" t="s">
        <v>26</v>
      </c>
      <c r="E9" s="6" t="n">
        <v>46308</v>
      </c>
      <c r="F9" s="6" t="n">
        <v>46310</v>
      </c>
      <c r="G9" s="7" t="s">
        <v>18</v>
      </c>
      <c r="H9" s="7" t="s">
        <v>15</v>
      </c>
      <c r="I9" s="7" t="s">
        <v>27</v>
      </c>
    </row>
    <row r="10" customFormat="false" ht="26.25" hidden="false" customHeight="true" outlineLevel="0" collapsed="false">
      <c r="A10" s="5" t="n">
        <v>6</v>
      </c>
      <c r="B10" s="5" t="s">
        <v>11</v>
      </c>
      <c r="C10" s="5" t="s">
        <v>28</v>
      </c>
      <c r="D10" s="5" t="s">
        <v>29</v>
      </c>
      <c r="E10" s="6" t="n">
        <v>46308</v>
      </c>
      <c r="F10" s="6" t="n">
        <v>46308</v>
      </c>
      <c r="G10" s="7" t="s">
        <v>14</v>
      </c>
      <c r="H10" s="7" t="s">
        <v>15</v>
      </c>
      <c r="I10" s="7"/>
    </row>
    <row r="11" customFormat="false" ht="26.25" hidden="false" customHeight="true" outlineLevel="0" collapsed="false">
      <c r="A11" s="5" t="n">
        <v>7</v>
      </c>
      <c r="B11" s="5" t="s">
        <v>11</v>
      </c>
      <c r="C11" s="5" t="s">
        <v>30</v>
      </c>
      <c r="D11" s="5" t="s">
        <v>31</v>
      </c>
      <c r="E11" s="6" t="n">
        <v>46308</v>
      </c>
      <c r="F11" s="6" t="n">
        <v>46308</v>
      </c>
      <c r="G11" s="7" t="s">
        <v>14</v>
      </c>
      <c r="H11" s="7" t="s">
        <v>15</v>
      </c>
      <c r="I11" s="7"/>
    </row>
    <row r="12" customFormat="false" ht="26.25" hidden="false" customHeight="true" outlineLevel="0" collapsed="false">
      <c r="A12" s="5" t="n">
        <v>8</v>
      </c>
      <c r="B12" s="5" t="s">
        <v>32</v>
      </c>
      <c r="C12" s="5" t="s">
        <v>33</v>
      </c>
      <c r="D12" s="5" t="s">
        <v>34</v>
      </c>
      <c r="E12" s="6" t="n">
        <v>46308</v>
      </c>
      <c r="F12" s="6" t="n">
        <v>46309</v>
      </c>
      <c r="G12" s="7" t="s">
        <v>14</v>
      </c>
      <c r="H12" s="7" t="s">
        <v>15</v>
      </c>
      <c r="I12" s="7" t="s">
        <v>35</v>
      </c>
    </row>
    <row r="13" customFormat="false" ht="15" hidden="false" customHeight="true" outlineLevel="0" collapsed="false">
      <c r="A13" s="5" t="n">
        <v>9</v>
      </c>
      <c r="B13" s="5" t="s">
        <v>32</v>
      </c>
      <c r="C13" s="5" t="s">
        <v>36</v>
      </c>
      <c r="D13" s="5" t="s">
        <v>37</v>
      </c>
      <c r="E13" s="6" t="n">
        <v>46310</v>
      </c>
      <c r="F13" s="6" t="n">
        <v>46311</v>
      </c>
      <c r="G13" s="7" t="s">
        <v>14</v>
      </c>
      <c r="H13" s="7" t="s">
        <v>38</v>
      </c>
      <c r="I13" s="7" t="s">
        <v>39</v>
      </c>
    </row>
    <row r="14" customFormat="false" ht="26.25" hidden="false" customHeight="true" outlineLevel="0" collapsed="false">
      <c r="A14" s="5" t="n">
        <v>10</v>
      </c>
      <c r="B14" s="5" t="s">
        <v>32</v>
      </c>
      <c r="C14" s="5" t="s">
        <v>40</v>
      </c>
      <c r="D14" s="5" t="s">
        <v>41</v>
      </c>
      <c r="E14" s="6" t="n">
        <v>46312</v>
      </c>
      <c r="F14" s="6" t="n">
        <v>46312</v>
      </c>
      <c r="G14" s="7" t="s">
        <v>14</v>
      </c>
      <c r="H14" s="7" t="s">
        <v>15</v>
      </c>
      <c r="I14" s="7" t="s">
        <v>42</v>
      </c>
    </row>
    <row r="15" customFormat="false" ht="26.25" hidden="false" customHeight="true" outlineLevel="0" collapsed="false">
      <c r="A15" s="5" t="n">
        <v>11</v>
      </c>
      <c r="B15" s="5" t="s">
        <v>32</v>
      </c>
      <c r="C15" s="5" t="s">
        <v>43</v>
      </c>
      <c r="D15" s="5" t="s">
        <v>44</v>
      </c>
      <c r="E15" s="6" t="n">
        <v>46314</v>
      </c>
      <c r="F15" s="6" t="n">
        <v>46314</v>
      </c>
      <c r="G15" s="7" t="s">
        <v>18</v>
      </c>
      <c r="H15" s="7" t="s">
        <v>38</v>
      </c>
      <c r="I15" s="7" t="s">
        <v>45</v>
      </c>
    </row>
    <row r="16" customFormat="false" ht="15" hidden="false" customHeight="true" outlineLevel="0" collapsed="false">
      <c r="A16" s="5" t="n">
        <v>12</v>
      </c>
      <c r="B16" s="5" t="s">
        <v>32</v>
      </c>
      <c r="C16" s="5" t="s">
        <v>46</v>
      </c>
      <c r="D16" s="5" t="s">
        <v>47</v>
      </c>
      <c r="E16" s="6" t="n">
        <v>46315</v>
      </c>
      <c r="F16" s="6" t="n">
        <v>46315</v>
      </c>
      <c r="G16" s="7" t="s">
        <v>14</v>
      </c>
      <c r="H16" s="7" t="s">
        <v>15</v>
      </c>
      <c r="I16" s="7" t="s">
        <v>48</v>
      </c>
    </row>
    <row r="17" customFormat="false" ht="26.25" hidden="false" customHeight="true" outlineLevel="0" collapsed="false">
      <c r="A17" s="5" t="n">
        <v>13</v>
      </c>
      <c r="B17" s="5" t="s">
        <v>32</v>
      </c>
      <c r="C17" s="5" t="s">
        <v>49</v>
      </c>
      <c r="D17" s="5" t="s">
        <v>50</v>
      </c>
      <c r="E17" s="6" t="n">
        <v>46316</v>
      </c>
      <c r="F17" s="6" t="n">
        <v>46316</v>
      </c>
      <c r="G17" s="7" t="s">
        <v>14</v>
      </c>
      <c r="H17" s="7" t="s">
        <v>15</v>
      </c>
      <c r="I17" s="7" t="s">
        <v>51</v>
      </c>
    </row>
    <row r="18" customFormat="false" ht="15" hidden="false" customHeight="true" outlineLevel="0" collapsed="false">
      <c r="A18" s="5" t="n">
        <v>14</v>
      </c>
      <c r="B18" s="5" t="s">
        <v>32</v>
      </c>
      <c r="C18" s="5" t="s">
        <v>52</v>
      </c>
      <c r="D18" s="5" t="s">
        <v>53</v>
      </c>
      <c r="E18" s="6" t="n">
        <v>46317</v>
      </c>
      <c r="F18" s="6" t="n">
        <v>46317</v>
      </c>
      <c r="G18" s="7" t="s">
        <v>54</v>
      </c>
      <c r="H18" s="7" t="s">
        <v>55</v>
      </c>
      <c r="I18" s="7"/>
    </row>
    <row r="19" customFormat="false" ht="15" hidden="false" customHeight="true" outlineLevel="0" collapsed="false">
      <c r="A19" s="5" t="n">
        <v>15</v>
      </c>
      <c r="B19" s="5" t="s">
        <v>56</v>
      </c>
      <c r="C19" s="5" t="s">
        <v>57</v>
      </c>
      <c r="D19" s="5" t="s">
        <v>58</v>
      </c>
      <c r="E19" s="6" t="n">
        <v>46317</v>
      </c>
      <c r="F19" s="6" t="n">
        <v>46318</v>
      </c>
      <c r="G19" s="7" t="s">
        <v>14</v>
      </c>
      <c r="H19" s="7" t="s">
        <v>55</v>
      </c>
      <c r="I19" s="7"/>
    </row>
    <row r="20" customFormat="false" ht="15" hidden="false" customHeight="true" outlineLevel="0" collapsed="false">
      <c r="A20" s="5" t="n">
        <v>16</v>
      </c>
      <c r="B20" s="5" t="s">
        <v>56</v>
      </c>
      <c r="C20" s="5" t="s">
        <v>59</v>
      </c>
      <c r="D20" s="5" t="s">
        <v>60</v>
      </c>
      <c r="E20" s="6" t="n">
        <v>46319</v>
      </c>
      <c r="F20" s="6" t="n">
        <v>46319</v>
      </c>
      <c r="G20" s="7" t="s">
        <v>61</v>
      </c>
      <c r="H20" s="7" t="s">
        <v>62</v>
      </c>
      <c r="I20" s="7"/>
    </row>
    <row r="21" customFormat="false" ht="26.25" hidden="false" customHeight="true" outlineLevel="0" collapsed="false">
      <c r="A21" s="5" t="n">
        <v>17</v>
      </c>
      <c r="B21" s="5" t="s">
        <v>63</v>
      </c>
      <c r="C21" s="5" t="s">
        <v>64</v>
      </c>
      <c r="D21" s="5" t="s">
        <v>65</v>
      </c>
      <c r="E21" s="6" t="n">
        <v>46319</v>
      </c>
      <c r="F21" s="6" t="n">
        <v>46320</v>
      </c>
      <c r="G21" s="7" t="s">
        <v>18</v>
      </c>
      <c r="H21" s="7" t="s">
        <v>62</v>
      </c>
      <c r="I21" s="7"/>
    </row>
    <row r="22" customFormat="false" ht="26.25" hidden="false" customHeight="true" outlineLevel="0" collapsed="false">
      <c r="A22" s="5" t="n">
        <v>18</v>
      </c>
      <c r="B22" s="5" t="s">
        <v>66</v>
      </c>
      <c r="C22" s="5" t="s">
        <v>67</v>
      </c>
      <c r="D22" s="5" t="s">
        <v>68</v>
      </c>
      <c r="E22" s="6" t="n">
        <v>46320</v>
      </c>
      <c r="F22" s="6" t="n">
        <v>46320</v>
      </c>
      <c r="G22" s="7" t="s">
        <v>61</v>
      </c>
      <c r="H22" s="7" t="s">
        <v>62</v>
      </c>
      <c r="I22" s="7" t="s">
        <v>69</v>
      </c>
    </row>
    <row r="23" customFormat="false" ht="26.25" hidden="false" customHeight="true" outlineLevel="0" collapsed="false">
      <c r="A23" s="5" t="n">
        <v>19</v>
      </c>
      <c r="B23" s="5" t="s">
        <v>70</v>
      </c>
      <c r="C23" s="5" t="s">
        <v>71</v>
      </c>
      <c r="D23" s="5" t="s">
        <v>72</v>
      </c>
      <c r="E23" s="6" t="n">
        <v>46321</v>
      </c>
      <c r="F23" s="6" t="n">
        <v>46322</v>
      </c>
      <c r="G23" s="7" t="s">
        <v>73</v>
      </c>
      <c r="H23" s="7" t="s">
        <v>62</v>
      </c>
      <c r="I23" s="7" t="s">
        <v>74</v>
      </c>
    </row>
    <row r="25" customFormat="false" ht="17.25" hidden="false" customHeight="true" outlineLevel="0" collapsed="false">
      <c r="A25" s="2" t="s">
        <v>75</v>
      </c>
    </row>
    <row r="26" customFormat="false" ht="15" hidden="false" customHeight="true" outlineLevel="0" collapsed="false">
      <c r="A26" s="8" t="s">
        <v>76</v>
      </c>
      <c r="B26" s="8"/>
      <c r="C26" s="1" t="n">
        <f aca="false">COUNTA(C5:C23)</f>
        <v>19</v>
      </c>
    </row>
    <row r="27" customFormat="false" ht="15" hidden="false" customHeight="true" outlineLevel="0" collapsed="false">
      <c r="A27" s="8" t="s">
        <v>15</v>
      </c>
      <c r="B27" s="8"/>
      <c r="C27" s="1" t="n">
        <f aca="false">COUNTIF(H5:H23,"Done")</f>
        <v>11</v>
      </c>
    </row>
    <row r="28" customFormat="false" ht="15" hidden="false" customHeight="true" outlineLevel="0" collapsed="false">
      <c r="A28" s="8" t="s">
        <v>77</v>
      </c>
      <c r="B28" s="8"/>
      <c r="C28" s="1" t="n">
        <f aca="false">COUNTIF(H5:H23,"In progress")+COUNTIF(H5:H23,"Next")</f>
        <v>4</v>
      </c>
    </row>
    <row r="29" customFormat="false" ht="15" hidden="false" customHeight="true" outlineLevel="0" collapsed="false">
      <c r="A29" s="8" t="s">
        <v>62</v>
      </c>
      <c r="B29" s="8"/>
      <c r="C29" s="1" t="n">
        <f aca="false">COUNTIF(H5:H23,"To do")</f>
        <v>4</v>
      </c>
    </row>
    <row r="30" customFormat="false" ht="15" hidden="false" customHeight="true" outlineLevel="0" collapsed="false">
      <c r="A30" s="8" t="s">
        <v>78</v>
      </c>
      <c r="B30" s="8"/>
      <c r="C30" s="9" t="n">
        <f aca="false">C27/C26</f>
        <v>0.578947368421053</v>
      </c>
    </row>
    <row r="31" customFormat="false" ht="15" hidden="false" customHeight="true" outlineLevel="0" collapsed="false">
      <c r="A31" s="8" t="s">
        <v>79</v>
      </c>
      <c r="B31" s="8"/>
      <c r="C31" s="1" t="n">
        <f aca="true">DATE(2026,10,25)-TODAY()</f>
        <v>12</v>
      </c>
    </row>
  </sheetData>
  <mergeCells count="7">
    <mergeCell ref="A2:I2"/>
    <mergeCell ref="A26:B26"/>
    <mergeCell ref="A27:B27"/>
    <mergeCell ref="A28:B28"/>
    <mergeCell ref="A29:B29"/>
    <mergeCell ref="A30:B30"/>
    <mergeCell ref="A31:B31"/>
  </mergeCells>
  <conditionalFormatting sqref="H5:H2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1">
      <formula>"Next"</formula>
    </cfRule>
    <cfRule type="cellIs" priority="5" operator="equal" aboveAverage="0" equalAverage="0" bottom="0" percent="0" rank="0" text="" dxfId="2">
      <formula>"To do"</formula>
    </cfRule>
    <cfRule type="cellIs" priority="6" operator="equal" aboveAverage="0" equalAverage="0" bottom="0" percent="0" rank="0" text="" dxfId="3">
      <formula>"Pending AB"</formula>
    </cfRule>
    <cfRule type="cellIs" priority="7" operator="equal" aboveAverage="0" equalAverage="0" bottom="0" percent="0" rank="0" text="" dxfId="3">
      <formula>"Blocked"</formula>
    </cfRule>
  </conditionalFormatting>
  <dataValidations count="1">
    <dataValidation allowBlank="true" errorStyle="stop" operator="between" showDropDown="false" showErrorMessage="false" showInputMessage="false" sqref="H5:H23" type="list">
      <formula1>"Done,In progress,Next,To do,Pending AB,Blocked,Not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6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80</v>
      </c>
    </row>
    <row r="3" customFormat="false" ht="15" hidden="false" customHeight="true" outlineLevel="0" collapsed="false">
      <c r="A3" s="4" t="s">
        <v>5</v>
      </c>
      <c r="B3" s="4" t="s">
        <v>81</v>
      </c>
      <c r="C3" s="4" t="s">
        <v>82</v>
      </c>
      <c r="D3" s="4" t="s">
        <v>83</v>
      </c>
      <c r="E3" s="4" t="s">
        <v>9</v>
      </c>
    </row>
    <row r="4" customFormat="false" ht="26.25" hidden="false" customHeight="true" outlineLevel="0" collapsed="false">
      <c r="A4" s="5" t="s">
        <v>32</v>
      </c>
      <c r="B4" s="5" t="s">
        <v>84</v>
      </c>
      <c r="C4" s="5" t="s">
        <v>85</v>
      </c>
      <c r="D4" s="6" t="n">
        <v>46320</v>
      </c>
      <c r="E4" s="7" t="s">
        <v>62</v>
      </c>
    </row>
    <row r="5" customFormat="false" ht="26.25" hidden="false" customHeight="true" outlineLevel="0" collapsed="false">
      <c r="A5" s="5" t="s">
        <v>86</v>
      </c>
      <c r="B5" s="5" t="s">
        <v>87</v>
      </c>
      <c r="C5" s="5" t="s">
        <v>88</v>
      </c>
      <c r="D5" s="6" t="n">
        <v>46320</v>
      </c>
      <c r="E5" s="7" t="s">
        <v>62</v>
      </c>
    </row>
    <row r="6" customFormat="false" ht="26.25" hidden="false" customHeight="true" outlineLevel="0" collapsed="false">
      <c r="A6" s="5" t="s">
        <v>89</v>
      </c>
      <c r="B6" s="5" t="s">
        <v>90</v>
      </c>
      <c r="C6" s="5" t="s">
        <v>91</v>
      </c>
      <c r="D6" s="6" t="n">
        <v>46308</v>
      </c>
      <c r="E6" s="7" t="s">
        <v>15</v>
      </c>
    </row>
    <row r="7" customFormat="false" ht="15" hidden="false" customHeight="true" outlineLevel="0" collapsed="false">
      <c r="A7" s="5" t="s">
        <v>92</v>
      </c>
      <c r="B7" s="5" t="s">
        <v>93</v>
      </c>
      <c r="C7" s="5" t="s">
        <v>94</v>
      </c>
      <c r="D7" s="6" t="n">
        <v>46308</v>
      </c>
      <c r="E7" s="7" t="s">
        <v>15</v>
      </c>
    </row>
    <row r="8" customFormat="false" ht="26.25" hidden="false" customHeight="true" outlineLevel="0" collapsed="false">
      <c r="A8" s="5" t="s">
        <v>95</v>
      </c>
      <c r="B8" s="5" t="s">
        <v>96</v>
      </c>
      <c r="C8" s="5" t="s">
        <v>97</v>
      </c>
      <c r="D8" s="6" t="n">
        <v>46308</v>
      </c>
      <c r="E8" s="7" t="s">
        <v>15</v>
      </c>
    </row>
    <row r="9" customFormat="false" ht="15" hidden="false" customHeight="true" outlineLevel="0" collapsed="false">
      <c r="A9" s="5" t="s">
        <v>98</v>
      </c>
      <c r="B9" s="5" t="s">
        <v>99</v>
      </c>
      <c r="C9" s="5" t="s">
        <v>100</v>
      </c>
      <c r="D9" s="6" t="n">
        <v>46311</v>
      </c>
      <c r="E9" s="7" t="s">
        <v>101</v>
      </c>
    </row>
  </sheetData>
  <conditionalFormatting sqref="E4:E9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1">
      <formula>"Next"</formula>
    </cfRule>
    <cfRule type="cellIs" priority="5" operator="equal" aboveAverage="0" equalAverage="0" bottom="0" percent="0" rank="0" text="" dxfId="2">
      <formula>"To do"</formula>
    </cfRule>
    <cfRule type="cellIs" priority="6" operator="equal" aboveAverage="0" equalAverage="0" bottom="0" percent="0" rank="0" text="" dxfId="3">
      <formula>"Pending AB"</formula>
    </cfRule>
    <cfRule type="cellIs" priority="7" operator="equal" aboveAverage="0" equalAverage="0" bottom="0" percent="0" rank="0" text="" dxfId="3">
      <formula>"Blocked"</formula>
    </cfRule>
  </conditionalFormatting>
  <dataValidations count="1">
    <dataValidation allowBlank="true" errorStyle="stop" operator="between" showDropDown="false" showErrorMessage="false" showInputMessage="false" sqref="E4:E9" type="list">
      <formula1>"Done,In progress,Next,To do,Pending AB,Blocked,Not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102</v>
      </c>
    </row>
    <row r="3" customFormat="false" ht="15" hidden="false" customHeight="true" outlineLevel="0" collapsed="false">
      <c r="A3" s="4" t="s">
        <v>103</v>
      </c>
      <c r="B3" s="4" t="s">
        <v>104</v>
      </c>
      <c r="C3" s="4" t="s">
        <v>105</v>
      </c>
      <c r="D3" s="4" t="s">
        <v>9</v>
      </c>
    </row>
    <row r="4" customFormat="false" ht="15" hidden="false" customHeight="true" outlineLevel="0" collapsed="false">
      <c r="A4" s="5" t="s">
        <v>106</v>
      </c>
      <c r="B4" s="5" t="s">
        <v>107</v>
      </c>
      <c r="C4" s="6" t="n">
        <v>46308</v>
      </c>
      <c r="D4" s="7" t="s">
        <v>15</v>
      </c>
    </row>
    <row r="5" customFormat="false" ht="15" hidden="false" customHeight="true" outlineLevel="0" collapsed="false">
      <c r="A5" s="5" t="s">
        <v>108</v>
      </c>
      <c r="B5" s="5" t="s">
        <v>109</v>
      </c>
      <c r="C5" s="6" t="n">
        <v>46308</v>
      </c>
      <c r="D5" s="7" t="s">
        <v>15</v>
      </c>
    </row>
    <row r="6" customFormat="false" ht="26.25" hidden="false" customHeight="true" outlineLevel="0" collapsed="false">
      <c r="A6" s="5" t="s">
        <v>110</v>
      </c>
      <c r="B6" s="5" t="s">
        <v>111</v>
      </c>
      <c r="C6" s="6" t="n">
        <v>46309</v>
      </c>
      <c r="D6" s="7" t="s">
        <v>112</v>
      </c>
    </row>
    <row r="7" customFormat="false" ht="26.25" hidden="false" customHeight="true" outlineLevel="0" collapsed="false">
      <c r="A7" s="5" t="s">
        <v>113</v>
      </c>
      <c r="B7" s="5" t="s">
        <v>114</v>
      </c>
      <c r="C7" s="6" t="n">
        <v>46309</v>
      </c>
      <c r="D7" s="7" t="s">
        <v>112</v>
      </c>
    </row>
    <row r="8" customFormat="false" ht="15" hidden="false" customHeight="true" outlineLevel="0" collapsed="false">
      <c r="A8" s="5" t="s">
        <v>115</v>
      </c>
      <c r="B8" s="5" t="s">
        <v>116</v>
      </c>
      <c r="C8" s="6" t="n">
        <v>46310</v>
      </c>
      <c r="D8" s="7" t="s">
        <v>112</v>
      </c>
    </row>
    <row r="9" customFormat="false" ht="15" hidden="false" customHeight="true" outlineLevel="0" collapsed="false">
      <c r="A9" s="5" t="s">
        <v>100</v>
      </c>
      <c r="B9" s="5" t="s">
        <v>117</v>
      </c>
      <c r="C9" s="6" t="n">
        <v>46311</v>
      </c>
      <c r="D9" s="7" t="s">
        <v>101</v>
      </c>
    </row>
    <row r="10" customFormat="false" ht="26.25" hidden="false" customHeight="true" outlineLevel="0" collapsed="false">
      <c r="A10" s="5" t="s">
        <v>118</v>
      </c>
      <c r="B10" s="5" t="s">
        <v>119</v>
      </c>
      <c r="C10" s="6" t="n">
        <v>46313</v>
      </c>
      <c r="D10" s="7" t="s">
        <v>38</v>
      </c>
    </row>
    <row r="11" customFormat="false" ht="26.25" hidden="false" customHeight="true" outlineLevel="0" collapsed="false">
      <c r="A11" s="5" t="s">
        <v>120</v>
      </c>
      <c r="B11" s="5" t="s">
        <v>121</v>
      </c>
      <c r="C11" s="6" t="n">
        <v>46314</v>
      </c>
      <c r="D11" s="7" t="s">
        <v>15</v>
      </c>
    </row>
    <row r="12" customFormat="false" ht="26.25" hidden="false" customHeight="true" outlineLevel="0" collapsed="false">
      <c r="A12" s="5" t="s">
        <v>122</v>
      </c>
      <c r="B12" s="5" t="s">
        <v>123</v>
      </c>
      <c r="C12" s="6" t="n">
        <v>46314</v>
      </c>
      <c r="D12" s="7" t="s">
        <v>101</v>
      </c>
    </row>
    <row r="13" customFormat="false" ht="15" hidden="false" customHeight="true" outlineLevel="0" collapsed="false">
      <c r="A13" s="5" t="s">
        <v>124</v>
      </c>
      <c r="B13" s="5" t="s">
        <v>125</v>
      </c>
      <c r="C13" s="7"/>
      <c r="D13" s="7" t="s">
        <v>112</v>
      </c>
    </row>
  </sheetData>
  <conditionalFormatting sqref="D4:D1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1">
      <formula>"Next"</formula>
    </cfRule>
    <cfRule type="cellIs" priority="5" operator="equal" aboveAverage="0" equalAverage="0" bottom="0" percent="0" rank="0" text="" dxfId="2">
      <formula>"To do"</formula>
    </cfRule>
    <cfRule type="cellIs" priority="6" operator="equal" aboveAverage="0" equalAverage="0" bottom="0" percent="0" rank="0" text="" dxfId="3">
      <formula>"Pending AB"</formula>
    </cfRule>
    <cfRule type="cellIs" priority="7" operator="equal" aboveAverage="0" equalAverage="0" bottom="0" percent="0" rank="0" text="" dxfId="4">
      <formula>"Not needed"</formula>
    </cfRule>
  </conditionalFormatting>
  <dataValidations count="1">
    <dataValidation allowBlank="true" errorStyle="stop" operator="between" showDropDown="false" showErrorMessage="false" showInputMessage="false" sqref="D4:D13" type="list">
      <formula1>"Done,In progress,Next,To do,Pending AB,Blocked,Not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4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126</v>
      </c>
    </row>
    <row r="3" customFormat="false" ht="15" hidden="false" customHeight="true" outlineLevel="0" collapsed="false">
      <c r="A3" s="4" t="s">
        <v>127</v>
      </c>
      <c r="B3" s="4" t="s">
        <v>128</v>
      </c>
      <c r="C3" s="4" t="s">
        <v>129</v>
      </c>
      <c r="D3" s="4" t="s">
        <v>130</v>
      </c>
    </row>
    <row r="4" customFormat="false" ht="15" hidden="false" customHeight="true" outlineLevel="0" collapsed="false">
      <c r="A4" s="5" t="s">
        <v>131</v>
      </c>
      <c r="B4" s="7" t="n">
        <v>250</v>
      </c>
      <c r="C4" s="7" t="n">
        <v>233</v>
      </c>
      <c r="D4" s="10" t="n">
        <f aca="false">IF(C4="","",C4-B4)</f>
        <v>-17</v>
      </c>
    </row>
    <row r="5" customFormat="false" ht="15" hidden="false" customHeight="true" outlineLevel="0" collapsed="false">
      <c r="A5" s="5" t="s">
        <v>132</v>
      </c>
      <c r="B5" s="7" t="n">
        <v>800</v>
      </c>
      <c r="C5" s="7" t="n">
        <v>795</v>
      </c>
      <c r="D5" s="10" t="n">
        <f aca="false">IF(C5="","",C5-B5)</f>
        <v>-5</v>
      </c>
    </row>
    <row r="6" customFormat="false" ht="15" hidden="false" customHeight="true" outlineLevel="0" collapsed="false">
      <c r="A6" s="5" t="s">
        <v>133</v>
      </c>
      <c r="B6" s="7" t="n">
        <v>2700</v>
      </c>
      <c r="C6" s="7" t="n">
        <v>2408</v>
      </c>
      <c r="D6" s="10" t="n">
        <f aca="false">IF(C6="","",C6-B6)</f>
        <v>-292</v>
      </c>
    </row>
    <row r="7" customFormat="false" ht="15" hidden="false" customHeight="true" outlineLevel="0" collapsed="false">
      <c r="A7" s="5" t="s">
        <v>134</v>
      </c>
      <c r="B7" s="7" t="n">
        <v>2100</v>
      </c>
      <c r="C7" s="7" t="n">
        <v>2258</v>
      </c>
      <c r="D7" s="10" t="n">
        <f aca="false">IF(C7="","",C7-B7)</f>
        <v>158</v>
      </c>
    </row>
    <row r="8" customFormat="false" ht="15" hidden="false" customHeight="true" outlineLevel="0" collapsed="false">
      <c r="A8" s="5" t="s">
        <v>135</v>
      </c>
      <c r="B8" s="7" t="n">
        <v>2500</v>
      </c>
      <c r="C8" s="7" t="n">
        <v>2290</v>
      </c>
      <c r="D8" s="10" t="n">
        <f aca="false">IF(C8="","",C8-B8)</f>
        <v>-210</v>
      </c>
    </row>
    <row r="9" customFormat="false" ht="15" hidden="false" customHeight="true" outlineLevel="0" collapsed="false">
      <c r="A9" s="5" t="s">
        <v>136</v>
      </c>
      <c r="B9" s="7" t="n">
        <v>1100</v>
      </c>
      <c r="C9" s="7" t="n">
        <v>1338</v>
      </c>
      <c r="D9" s="10" t="n">
        <f aca="false">IF(C9="","",C9-B9)</f>
        <v>238</v>
      </c>
    </row>
    <row r="10" customFormat="false" ht="15" hidden="false" customHeight="true" outlineLevel="0" collapsed="false">
      <c r="A10" s="5" t="s">
        <v>137</v>
      </c>
      <c r="B10" s="7" t="n">
        <v>550</v>
      </c>
      <c r="C10" s="7" t="n">
        <v>703</v>
      </c>
      <c r="D10" s="10" t="n">
        <f aca="false">IF(C10="","",C10-B10)</f>
        <v>153</v>
      </c>
    </row>
    <row r="11" customFormat="false" ht="15" hidden="false" customHeight="true" outlineLevel="0" collapsed="false">
      <c r="A11" s="11" t="s">
        <v>138</v>
      </c>
      <c r="B11" s="1" t="n">
        <f aca="false">SUM(B4:B10)</f>
        <v>10000</v>
      </c>
      <c r="C11" s="1" t="n">
        <f aca="false">SUM(C4:C10)</f>
        <v>10025</v>
      </c>
      <c r="D11" s="1" t="n">
        <f aca="false">IF(C11=0,"",C11-B11)</f>
        <v>25</v>
      </c>
    </row>
    <row r="12" customFormat="false" ht="15" hidden="false" customHeight="true" outlineLevel="0" collapsed="false">
      <c r="A12" s="1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2026-10-13T15:04:28Z</dcterms:created>
  <dc:creator>openpyxl</dc:creator>
  <dc:description/>
  <dc:language>en-US</dc:language>
  <cp:lastModifiedBy/>
  <dcterms:modified xsi:type="dcterms:W3CDTF">2026-10-13T17:47:49Z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