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2.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erified Matrix" sheetId="2" state="visible" r:id="rId4"/>
    <sheet name="Summary" sheetId="3" state="visible" r:id="rId5"/>
    <sheet name="Metrics" sheetId="4" state="visible" r:id="rId6"/>
    <sheet name="Evidence Register" sheetId="5" state="visible" r:id="rId7"/>
    <sheet name="Figures &amp; Tables" sheetId="6" state="visible" r:id="rId8"/>
    <sheet name="Independent AI Runs" sheetId="7" state="visible" r:id="rId9"/>
    <sheet name="AI Run Outcomes" sheetId="8" state="visible" r:id="rId10"/>
    <sheet name="AI Confirmed Findings" sheetId="9" state="visible" r:id="rId11"/>
    <sheet name="Scanner Results" sheetId="10" state="visible" r:id="rId12"/>
    <sheet name="Hybrid Runs (Condition C)" sheetId="11" state="visible" r:id="rId13"/>
    <sheet name="Timing" sheetId="12" state="visible" r:id="rId14"/>
    <sheet name="Remediation Validation" sheetId="13" state="visible" r:id="rId15"/>
    <sheet name="Decisions &amp; Caveats" sheetId="14" state="visible" r:id="rId16"/>
    <sheet name="Scoring Rules" sheetId="15" state="visible" r:id="rId17"/>
    <sheet name="AI Quality Scoring" sheetId="16" state="visible" r:id="rId18"/>
    <sheet name="Draft Matrix (original)" sheetId="17" state="visible" r:id="rId19"/>
  </sheets>
  <definedNames>
    <definedName function="false" hidden="true" localSheetId="8" name="_xlnm._FilterDatabase" vbProcedure="false">'AI Confirmed Findings'!$A$5:$I$59</definedName>
    <definedName function="false" hidden="true" localSheetId="15" name="_xlnm._FilterDatabase" vbProcedure="false">'AI Quality Scoring'!$A$1:$R$47</definedName>
    <definedName function="false" hidden="true" localSheetId="7" name="_xlnm._FilterDatabase" vbProcedure="false">'AI Run Outcomes'!$A$4:$L$50</definedName>
    <definedName function="false" hidden="true" localSheetId="4" name="_xlnm._FilterDatabase" vbProcedure="false">'Evidence Register'!$A$4:$G$41</definedName>
    <definedName function="false" hidden="true" localSheetId="5" name="_xlnm._FilterDatabase" vbProcedure="false">'Figures &amp; Tables'!$A$4:$G$33</definedName>
    <definedName function="false" hidden="true" localSheetId="6" name="_xlnm._FilterDatabase" vbProcedure="false">'Independent AI Runs'!$A$1:$M$38</definedName>
    <definedName function="false" hidden="true" localSheetId="1" name="_xlnm._FilterDatabase" vbProcedure="false">'Verified Matrix'!$A$1:$O$13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<sst xmlns="http://schemas.openxmlformats.org/spreadsheetml/2006/main" count="3195" uniqueCount="1268">
  <si>
    <t xml:space="preserve">PROM06 TC01–TC12 Verified Results Matrix</t>
  </si>
  <si>
    <t xml:space="preserve">Built 13 Oct 2026 from: PR bot comments and run artifacts (PRs #46–#68 Condition C; PRs #70–#81 independent), experiment-metadata.json for 37 independent runs, local reproduction with Checkov 3.3.1 and tfsec 1.28.14, Ground-Truth Matrix v1.0 and Confluence PROM06-TC-Evidences v72 (13 Oct 10:47).</t>
  </si>
  <si>
    <t xml:space="preserve">Evidence hierarchy used: raw run artifacts &gt; PR bot comments &gt; Confluence/screenshots &gt; draft matrix.</t>
  </si>
  <si>
    <t xml:space="preserve">Classification codes (target condition only):</t>
  </si>
  <si>
    <t xml:space="preserve">TP = target condition correctly reported   FN = target condition not reported   TN = no finding on a case with no intended weakness</t>
  </si>
  <si>
    <t xml:space="preserve">FP = finding that treats an acceptable configuration as a defect   PARTIAL = reported inconsistently across runs   CONTEXT = context-sensitive, researcher decision needed   UNVERIFIED = evidence conflict, not usable</t>
  </si>
  <si>
    <t xml:space="preserve">AI (independent) = post-PR #69 workflow, scanner_findings_supplied_to_ai = false in every run's metadata, 3 successful runs per case (TC08: 3 successful + 1 failed). AI (hybrid) = earlier Condition C runs whose prompt contained normalised Checkov/tfsec findings.</t>
  </si>
  <si>
    <t xml:space="preserve">Severity labels are each tool's own scale and are not equivalent across tools (Checkov OSS JSON has no severity).</t>
  </si>
  <si>
    <t xml:space="preserve">Sheets: Verified Matrix · Summary (formula-driven counts) · Independent AI Runs · Scanner Results · Hybrid Runs (Condition C) · Decisions &amp; Caveats · Draft Matrix (original).</t>
  </si>
  <si>
    <t xml:space="preserve">Decisions &amp; Caveats: all ten proposed treatments agreed by AB on 13 Oct 2026; classifications in 'Verified Matrix' reflect them. Matrix frozen pending AI explanation/remediation scoring.</t>
  </si>
  <si>
    <t xml:space="preserve">Step 3 additions (13 Oct 2026):</t>
  </si>
  <si>
    <t xml:space="preserve">Metrics — case-level detection/false-alarm metrics for TC01–TC12 (verified) and TC01–TC15 (TC13–15 provisional), complementarity, AI run-level metrics, timing and remediation summaries (all formulas).</t>
  </si>
  <si>
    <t xml:space="preserve">AI Run Outcomes — one row per independent AI run (46), counts of confirmed findings by label.</t>
  </si>
  <si>
    <t xml:space="preserve">AI Confirmed Findings — every CONFIRMED AI finding with a manual label (TARGET / EXTRA-VALID / DUPLICATE / FALSE).</t>
  </si>
  <si>
    <t xml:space="preserve">Timing — job and step durations from the GitHub Actions jobs API.</t>
  </si>
  <si>
    <t xml:space="preserve">Remediation Validation — AI fixes applied on rem-tc branches (PRs #85–#100) and re-checked by fmt/validate, Checkov, tfsec and a fresh AI review.</t>
  </si>
  <si>
    <t xml:space="preserve">File name kept for continuity; the workbook now also covers TC13–TC15.</t>
  </si>
  <si>
    <t xml:space="preserve">Test case</t>
  </si>
  <si>
    <t xml:space="preserve">Scenario (Confluence v72)</t>
  </si>
  <si>
    <t xml:space="preserve">Ground truth (summary)</t>
  </si>
  <si>
    <t xml:space="preserve">Case type</t>
  </si>
  <si>
    <t xml:space="preserve">Checkov 3.3.1 observed</t>
  </si>
  <si>
    <t xml:space="preserve">Checkov class.</t>
  </si>
  <si>
    <t xml:space="preserve">tfsec 1.28.14 observed</t>
  </si>
  <si>
    <t xml:space="preserve">tfsec class.</t>
  </si>
  <si>
    <t xml:space="preserve">AI independent (3 runs)</t>
  </si>
  <si>
    <t xml:space="preserve">AI indep. class.</t>
  </si>
  <si>
    <t xml:space="preserve">AI hybrid / Condition C (earlier)</t>
  </si>
  <si>
    <t xml:space="preserve">AI hybrid class.</t>
  </si>
  <si>
    <t xml:space="preserve">Extra / unrelated findings</t>
  </si>
  <si>
    <t xml:space="preserve">Evidence references</t>
  </si>
  <si>
    <t xml:space="preserve">Caveats</t>
  </si>
  <si>
    <t xml:space="preserve">TC01</t>
  </si>
  <si>
    <t xml:space="preserve">Secure baseline</t>
  </si>
  <si>
    <t xml:space="preserve">No intentional vulnerability (false-positive baseline).</t>
  </si>
  <si>
    <t xml:space="preserve">Secure</t>
  </si>
  <si>
    <t xml:space="preserve">7 passed / 0 failed</t>
  </si>
  <si>
    <t xml:space="preserve">TN</t>
  </si>
  <si>
    <t xml:space="preserve">0 findings</t>
  </si>
  <si>
    <t xml:space="preserve">0 confirmed in 3/3 runs (100/100). Only FALSE_POSITIVE/INFORMATIONAL notes in the artifact.</t>
  </si>
  <si>
    <t xml:space="preserve">Conflicting: PR #46 (older fixture) 2 confirmed MEDIUM (TAG-001, LOG-001), 55/100; Confluence 'clean' screenshot from PR #55 cannot be tied to its own run.</t>
  </si>
  <si>
    <t xml:space="preserve">UNVERIFIED</t>
  </si>
  <si>
    <t xml:space="preserve">None confirmed.</t>
  </si>
  <si>
    <t xml:space="preserve">PR #70, 92ab884, runs 38404582550 / 38405003190 / 38405111880; hybrid PR #46, #55</t>
  </si>
  <si>
    <t xml:space="preserve">Baseline evolved after PR #46 AI findings (tags, logging, deny rules) and prompt was adjusted — disclose as validity threat. TC01 rerun branch has a comment-only edit.</t>
  </si>
  <si>
    <t xml:space="preserve">TC02</t>
  </si>
  <si>
    <t xml:space="preserve">Unrestricted SSH Access</t>
  </si>
  <si>
    <t xml:space="preserve">Inbound TCP/22 from 0.0.0.0/0 — genuine management-plane exposure.</t>
  </si>
  <si>
    <t xml:space="preserve">Vulnerable</t>
  </si>
  <si>
    <t xml:space="preserve">7/0 — CKV_AZURE_10 evaluated and PASSED</t>
  </si>
  <si>
    <t xml:space="preserve">FN</t>
  </si>
  <si>
    <t xml:space="preserve">AVD-AZU-0047 + AVD-AZU-0050 (CRITICAL)</t>
  </si>
  <si>
    <t xml:space="preserve">TP</t>
  </si>
  <si>
    <t xml:space="preserve">HIGH SSH finding in 3/3 runs (70/100).</t>
  </si>
  <si>
    <t xml:space="preserve">CRITICAL SSH, cited tfsec IDs (PR #56).</t>
  </si>
  <si>
    <t xml:space="preserve">tfsec: 2 rules for one condition (normalise to 1).</t>
  </si>
  <si>
    <t xml:space="preserve">PR #71, 3eda6f7; hybrid PR #56</t>
  </si>
  <si>
    <t xml:space="preserve">Checkov passes because '0.0.0.0/0' is not matched as internet; CKV_AZURE_10 fails when the source is '*' (local probe).</t>
  </si>
  <si>
    <t xml:space="preserve">TC03</t>
  </si>
  <si>
    <t xml:space="preserve">Unrestricted RDP Access</t>
  </si>
  <si>
    <t xml:space="preserve">Inbound TCP/3389 from 0.0.0.0/0 — genuine management-plane exposure.</t>
  </si>
  <si>
    <t xml:space="preserve">7/0 — CKV_AZURE_9 evaluated and PASSED</t>
  </si>
  <si>
    <t xml:space="preserve">AVD-AZU-0048 + AVD-AZU-0047 (CRITICAL)</t>
  </si>
  <si>
    <t xml:space="preserve">HIGH RDP finding in 3/3 runs; run 3 added a duplicate SEC-001 policy finding (40/100).</t>
  </si>
  <si>
    <t xml:space="preserve">CRITICAL RDP, cited tfsec IDs (PR #57).</t>
  </si>
  <si>
    <t xml:space="preserve">AI run 3: duplicate SEC-001 finding for the same condition; tfsec: 2 rules, 1 condition.</t>
  </si>
  <si>
    <t xml:space="preserve">PR #72, 27789d9; hybrid PR #57</t>
  </si>
  <si>
    <t xml:space="preserve">Same Checkov source-matching behaviour as TC02 (inferred; probe run on TC02 only).</t>
  </si>
  <si>
    <t xml:space="preserve">TC04</t>
  </si>
  <si>
    <t xml:space="preserve">Public HTTP Ingress</t>
  </si>
  <si>
    <t xml:space="preserve">Inbound TCP/80 from 0.0.0.0/0 — intended TC04 weakness (Confluence v72).</t>
  </si>
  <si>
    <t xml:space="preserve">7/0 — CKV_AZURE_160 evaluated and PASSED</t>
  </si>
  <si>
    <t xml:space="preserve">AVD-AZU-0047 (CRITICAL, generic public ingress)</t>
  </si>
  <si>
    <t xml:space="preserve">HIGH HTTP finding in 3/3 runs (70/100).</t>
  </si>
  <si>
    <t xml:space="preserve">HIGH HTTP, cited tfsec ID (PR #58).</t>
  </si>
  <si>
    <t xml:space="preserve">—</t>
  </si>
  <si>
    <t xml:space="preserve">PR #73, cbc6855; hybrid PR #58</t>
  </si>
  <si>
    <t xml:space="preserve">GT v1.0 described TC04 as context-dependent; Confluence v72 fixes it as an intended weakness. tfsec rule is not port-specific.</t>
  </si>
  <si>
    <t xml:space="preserve">TC05</t>
  </si>
  <si>
    <t xml:space="preserve">Missing NSG Association</t>
  </si>
  <si>
    <t xml:space="preserve">NSG exists but is not associated with the subnet — control not effective.</t>
  </si>
  <si>
    <t xml:space="preserve">CKV2_AZURE_31 (6 passed / 1 failed)</t>
  </si>
  <si>
    <t xml:space="preserve">NET-001 finding in 3/3 runs (HIGH, HIGH, MEDIUM).</t>
  </si>
  <si>
    <t xml:space="preserve">MEDIUM NET-001, cited Checkov ID (PR #59).</t>
  </si>
  <si>
    <t xml:space="preserve">AI: NEEDS_CONTEXT note in every run about the stale 'Custom resolver' DNS comment (fixture artefact).</t>
  </si>
  <si>
    <t xml:space="preserve">PR #74, 14486bd; hybrid PR #59</t>
  </si>
  <si>
    <t xml:space="preserve">Severity varied across identical runs.</t>
  </si>
  <si>
    <t xml:space="preserve">TC06</t>
  </si>
  <si>
    <t xml:space="preserve">Public DNS Configuration</t>
  </si>
  <si>
    <t xml:space="preserve">VNet uses public resolver 8.8.8.8 contrary to NET-002 / CKV_AZURE_183.</t>
  </si>
  <si>
    <t xml:space="preserve">CKV_AZURE_183 + CKV_AZURE_182 (5/2)</t>
  </si>
  <si>
    <t xml:space="preserve">MEDIUM NET-002 finding in 3/3 runs (85/100).</t>
  </si>
  <si>
    <t xml:space="preserve">MEDIUM NET-002, cited Checkov IDs (PR #61).</t>
  </si>
  <si>
    <t xml:space="preserve">Checkov CKV_AZURE_182 (≥2 DNS endpoints) is related but not the target condition.</t>
  </si>
  <si>
    <t xml:space="preserve">PR #75, eb51ee9; hybrid PR #61</t>
  </si>
  <si>
    <t xml:space="preserve">Ground truth depends on the project baseline (NET-002); public DNS is not inherently insecure.</t>
  </si>
  <si>
    <t xml:space="preserve">TC07</t>
  </si>
  <si>
    <t xml:space="preserve">Weak TLS Configuration</t>
  </si>
  <si>
    <t xml:space="preserve">Storage account min_tls_version = TLS1_0 below TLS 1.2 minimum.</t>
  </si>
  <si>
    <t xml:space="preserve">CKV_AZURE_44 among 11 failed (11/11)</t>
  </si>
  <si>
    <t xml:space="preserve">AVD-AZU-0011 (CRITICAL)</t>
  </si>
  <si>
    <t xml:space="preserve">HIGH TLS finding in 3/3 runs + LOW TAG-001 (65/100).</t>
  </si>
  <si>
    <t xml:space="preserve">CRITICAL TLS + 2 extra findings (PR #63).</t>
  </si>
  <si>
    <t xml:space="preserve">Checkov: 10 unrelated storage checks fail. AI: valid LOW TAG-001 (storage is taggable) + NEEDS_CONTEXT public access.</t>
  </si>
  <si>
    <t xml:space="preserve">PR #76, b6e93b7; hybrid PR #63</t>
  </si>
  <si>
    <t xml:space="preserve">Fixture not single-variable (new storage account, hard-coded RG, non-standard tags); Confluence scenario said TC12 HTTPS service would be reused.</t>
  </si>
  <si>
    <t xml:space="preserve">TC08</t>
  </si>
  <si>
    <t xml:space="preserve">Missing Diagnostic/Audit Logging</t>
  </si>
  <si>
    <t xml:space="preserve">NSG diagnostic setting removed; logs not forwarded to Log Analytics (LOG-001).</t>
  </si>
  <si>
    <t xml:space="preserve">7/0</t>
  </si>
  <si>
    <t xml:space="preserve">Raised in all 4 runs but classified inconsistently: FALSE_POSITIVE (output rejected, run failed), NEEDS_CONTEXT ×2, CONFIRMED ×1.</t>
  </si>
  <si>
    <t xml:space="preserve">PARTIAL</t>
  </si>
  <si>
    <t xml:space="preserve">MEDIUM LOG-001 confirmed (PR #64).</t>
  </si>
  <si>
    <t xml:space="preserve">PR #77, c86e4d5, runs 38404605125 (failed) / 38405066857 / 38405174844 / 38405218950; hybrid PR #64</t>
  </si>
  <si>
    <t xml:space="preserve">Only the AI is given LOG-001; failed run's summary wrongly claimed the absence was intentional.</t>
  </si>
  <si>
    <t xml:space="preserve">TC09</t>
  </si>
  <si>
    <t xml:space="preserve">Plaintext Credentials (dummy)</t>
  </si>
  <si>
    <t xml:space="preserve">Dummy credential-shaped string hard-coded in a Terraform local; value is non-sensitive test data.</t>
  </si>
  <si>
    <t xml:space="preserve">7/0 (Checkov run with --framework terraform; secrets framework not run)</t>
  </si>
  <si>
    <t xml:space="preserve">MEDIUM hard-coded secret finding in 3/3 runs (85/100).</t>
  </si>
  <si>
    <t xml:space="preserve">MEDIUM finding (PR #65).</t>
  </si>
  <si>
    <t xml:space="preserve">PR #78, 277a730; hybrid PR #65</t>
  </si>
  <si>
    <t xml:space="preserve">Checkov non-detection reflects pipeline configuration as much as tool capability. Explanation accuracy (state claims) to be scored in step 2.</t>
  </si>
  <si>
    <t xml:space="preserve">TC10</t>
  </si>
  <si>
    <t xml:space="preserve">Excessive Azure IAM Permissions</t>
  </si>
  <si>
    <t xml:space="preserve">Custom role actions = ['*'] at subscription scope exceeds minimum.</t>
  </si>
  <si>
    <t xml:space="preserve">CKV_AZURE_39 (7/1)</t>
  </si>
  <si>
    <t xml:space="preserve">HIGH wildcard-role finding in 3/3 runs; 2/3 runs added LOW TAG-001.</t>
  </si>
  <si>
    <t xml:space="preserve">Run 1: 2 × CRITICAL (40/100); rerun same commit: 1 × HIGH (70/100) (PR #66).</t>
  </si>
  <si>
    <t xml:space="preserve">AI TAG-001 on azurerm_role_definition (resource has no tags) — AI false positive in 2/3 runs.</t>
  </si>
  <si>
    <t xml:space="preserve">PR #79, bd8a61f; hybrid PR #66 (2 attempts)</t>
  </si>
  <si>
    <t xml:space="preserve">Matrix 'critical' reflected hybrid run 1 only.</t>
  </si>
  <si>
    <t xml:space="preserve">TC11</t>
  </si>
  <si>
    <t xml:space="preserve">Multi-file, context-dependent weakness</t>
  </si>
  <si>
    <t xml:space="preserve">Wildcard role vs read-only actions documented in tc11_requirements.tf.</t>
  </si>
  <si>
    <t xml:space="preserve">HIGH finding in 3/3 runs; all 3 cite tc11_requirements.tf.</t>
  </si>
  <si>
    <t xml:space="preserve">HIGH finding ×2, cited Checkov (PR #67).</t>
  </si>
  <si>
    <t xml:space="preserve">PR #80, 3dd9a04; hybrid PR #67 (2 attempts)</t>
  </si>
  <si>
    <t xml:space="preserve">Construct validity: the wildcard alone triggers detection, so this does not isolate multi-file reasoning. Confluence heading 'AI-only (B)' is wrong — evidence is Condition C.</t>
  </si>
  <si>
    <t xml:space="preserve">TC12</t>
  </si>
  <si>
    <t xml:space="preserve">Legitimate Public HTTPS Service</t>
  </si>
  <si>
    <t xml:space="preserve">Public TCP/443 is intentional; exposure alone is not a vulnerability.</t>
  </si>
  <si>
    <t xml:space="preserve">Legitimate</t>
  </si>
  <si>
    <t xml:space="preserve">11 passed / 0 failed</t>
  </si>
  <si>
    <t xml:space="preserve">AVD-AZU-0047 (CRITICAL) on the intended rule</t>
  </si>
  <si>
    <t xml:space="preserve">CONTEXT</t>
  </si>
  <si>
    <t xml:space="preserve">Varied: run 1 blocked (HIGH + MEDIUM SEC-001 + LOW TAG-001, 50/100); run 2 LOW TAG-001 only (95); run 3 none (100), said SEC-001 justified and TAG-001 n/a.</t>
  </si>
  <si>
    <t xml:space="preserve">MEDIUM SEC-001 scope concern (PR #68).</t>
  </si>
  <si>
    <t xml:space="preserve">AI TAG-001 on azurerm_network_security_rule (resource has no tags) — AI false positive in 2/3 runs.</t>
  </si>
  <si>
    <t xml:space="preserve">PR #81, 9cee1fe; hybrid PR #68</t>
  </si>
  <si>
    <t xml:space="preserve">Decide whether the shared-NSG/wildcard-destination scope concern counts as a separate weakness; until then tfsec and AI are CONTEXT.</t>
  </si>
  <si>
    <t xml:space="preserve">Descriptive counts (formula-driven from 'Verified Matrix')</t>
  </si>
  <si>
    <t xml:space="preserve">Measure</t>
  </si>
  <si>
    <t xml:space="preserve">Checkov</t>
  </si>
  <si>
    <t xml:space="preserve">tfsec</t>
  </si>
  <si>
    <t xml:space="preserve">AI independent</t>
  </si>
  <si>
    <t xml:space="preserve">AI hybrid (Cond. C)</t>
  </si>
  <si>
    <t xml:space="preserve">Definition / denominator</t>
  </si>
  <si>
    <t xml:space="preserve">Vulnerable cases (denominator)</t>
  </si>
  <si>
    <t xml:space="preserve">TC02–TC11</t>
  </si>
  <si>
    <t xml:space="preserve">Target condition detected (TP)</t>
  </si>
  <si>
    <t xml:space="preserve">Normalised: one detection per case regardless of rule count</t>
  </si>
  <si>
    <t xml:space="preserve">Target condition missed (FN)</t>
  </si>
  <si>
    <t xml:space="preserve">Inconsistent across runs (PARTIAL)</t>
  </si>
  <si>
    <t xml:space="preserve">AI only: TC08</t>
  </si>
  <si>
    <t xml:space="preserve">Detection rate (TP / vulnerable cases)</t>
  </si>
  <si>
    <t xml:space="preserve">Descriptive only; n = 10 constructed cases, not a population estimate</t>
  </si>
  <si>
    <t xml:space="preserve">Secure baseline TC01 — clean (TN)</t>
  </si>
  <si>
    <t xml:space="preserve">1 case</t>
  </si>
  <si>
    <t xml:space="preserve">Secure baseline TC01 — unverified</t>
  </si>
  <si>
    <t xml:space="preserve">Hybrid TC01 evidence conflict</t>
  </si>
  <si>
    <t xml:space="preserve">Legitimate TC12 — no finding (TN)</t>
  </si>
  <si>
    <t xml:space="preserve">Legitimate TC12 — context-sensitive (CONTEXT)</t>
  </si>
  <si>
    <t xml:space="preserve">Agreed 13 Oct: report both readings (D2)</t>
  </si>
  <si>
    <t xml:space="preserve">Union and overlap (vulnerable cases)</t>
  </si>
  <si>
    <t xml:space="preserve">Detected by Checkov OR tfsec</t>
  </si>
  <si>
    <t xml:space="preserve">Scanner union</t>
  </si>
  <si>
    <t xml:space="preserve">Detected by AI independent (TP) but by neither scanner</t>
  </si>
  <si>
    <t xml:space="preserve">TC09 (TC08 is PARTIAL)</t>
  </si>
  <si>
    <t xml:space="preserve">Detected by a scanner but not by AI independent (TP)</t>
  </si>
  <si>
    <t xml:space="preserve">None expected</t>
  </si>
  <si>
    <t xml:space="preserve">Missed by all three</t>
  </si>
  <si>
    <t xml:space="preserve">Notes: counts are descriptive for 12 controlled fixtures. Alert counts are not quality measures; scanner rules for one condition are normalised to one detection. AI independent classification uses 3 identical runs per case.</t>
  </si>
  <si>
    <t xml:space="preserve">Step 3 metrics — detection, false alarms, run consistency, timing and remediation</t>
  </si>
  <si>
    <t xml:space="preserve">Case-level classes for TC01–TC12 are linked from 'Verified Matrix' (green). TC13–TC15 are typed (blue) from local scans and the nine run artefacts (metadata verified: INDEPENDENT, no scanner input).  All rates are descriptive for constructed cases (n = 15), not population estimates.</t>
  </si>
  <si>
    <t xml:space="preserve">TC</t>
  </si>
  <si>
    <t xml:space="preserve">Status</t>
  </si>
  <si>
    <t xml:space="preserve">Note</t>
  </si>
  <si>
    <t xml:space="preserve">Verified</t>
  </si>
  <si>
    <t xml:space="preserve">Secure baseline.</t>
  </si>
  <si>
    <t xml:space="preserve">Raised 4/4 runs, confirmed 1/4 (PARTIAL).</t>
  </si>
  <si>
    <t xml:space="preserve">Only the AI detected it (scanners FN).</t>
  </si>
  <si>
    <t xml:space="preserve">Construct not isolated: CKV_AZURE_39 fires on the wildcard alone.</t>
  </si>
  <si>
    <t xml:space="preserve">Report both readings (decision D2).</t>
  </si>
  <si>
    <t xml:space="preserve">TC13</t>
  </si>
  <si>
    <t xml:space="preserve">Contributor at subscription vs documented Reader-on-RG need. Checkov 7/0, tfsec 0; AI HIGH 3/3.</t>
  </si>
  <si>
    <t xml:space="preserve">TC14</t>
  </si>
  <si>
    <t xml:space="preserve">Restricted SSH (remediated TC02). AI: LOW wildcard-destination finding confirmed in run 1; runs 2–3 clean with NEEDS_CONTEXT bastion notes (hidden from PR comment).</t>
  </si>
  <si>
    <t xml:space="preserve">TC15</t>
  </si>
  <si>
    <t xml:space="preserve">Hard-coded password in variable default. Checkov 7/0 (secrets framework not run), tfsec 0; AI HIGH 3/3.</t>
  </si>
  <si>
    <t xml:space="preserve">A. Case level — TC01–TC12 (verified)</t>
  </si>
  <si>
    <t xml:space="preserve">Definition</t>
  </si>
  <si>
    <t xml:space="preserve">Vulnerable cases</t>
  </si>
  <si>
    <t xml:space="preserve">Denominator for detection rate</t>
  </si>
  <si>
    <t xml:space="preserve">Detected (TP)</t>
  </si>
  <si>
    <t xml:space="preserve">One detection per case regardless of rule count</t>
  </si>
  <si>
    <t xml:space="preserve">Partial (raised, not consistently confirmed)</t>
  </si>
  <si>
    <t xml:space="preserve">AI TC08</t>
  </si>
  <si>
    <t xml:space="preserve">Missed (FN)</t>
  </si>
  <si>
    <t xml:space="preserve">Detection rate, strict (TP ÷ vulnerable)</t>
  </si>
  <si>
    <t xml:space="preserve">PARTIAL counted as miss</t>
  </si>
  <si>
    <t xml:space="preserve">Detection rate, lenient ((TP + PARTIAL) ÷ vulnerable)</t>
  </si>
  <si>
    <t xml:space="preserve">PARTIAL counted as hit</t>
  </si>
  <si>
    <t xml:space="preserve">Non-vulnerable cases (secure + legitimate)</t>
  </si>
  <si>
    <t xml:space="preserve">TC01, TC12 (+TC14)</t>
  </si>
  <si>
    <t xml:space="preserve">Clean on non-vulnerable (TN)</t>
  </si>
  <si>
    <t xml:space="preserve">Flagged non-vulnerable (FP or CONTEXT)</t>
  </si>
  <si>
    <t xml:space="preserve">TC12 counted here for tfsec and AI</t>
  </si>
  <si>
    <t xml:space="preserve">B. Case level — TC01–TC15</t>
  </si>
  <si>
    <t xml:space="preserve">C. Complementarity — vulnerable cases, TC01–TC15</t>
  </si>
  <si>
    <t xml:space="preserve">Detected by AI (TP)</t>
  </si>
  <si>
    <t xml:space="preserve">Detected by AI but by neither scanner</t>
  </si>
  <si>
    <t xml:space="preserve">TC09, TC13, TC15 (TC08 is PARTIAL)</t>
  </si>
  <si>
    <t xml:space="preserve">Detected by a scanner but not by AI (TP)</t>
  </si>
  <si>
    <t xml:space="preserve">Detected by scanners OR AI (any tool)</t>
  </si>
  <si>
    <t xml:space="preserve">Missed by every tool (counting AI PARTIAL as a miss)</t>
  </si>
  <si>
    <t xml:space="preserve">TC08 (AI PARTIAL; scanners FN)</t>
  </si>
  <si>
    <t xml:space="preserve">D. AI run level — 46 independent runs</t>
  </si>
  <si>
    <t xml:space="preserve">Vulnerable-case runs</t>
  </si>
  <si>
    <t xml:space="preserve">TC02–TC11 (31) + TC13, TC15 (6)</t>
  </si>
  <si>
    <t xml:space="preserve">…target CONFIRMED</t>
  </si>
  <si>
    <t xml:space="preserve">Misses: TC08 runs 1–3 (FALSE_POSITIVE, NEEDS_CONTEXT ×2)</t>
  </si>
  <si>
    <t xml:space="preserve">Run-level detection rate</t>
  </si>
  <si>
    <t xml:space="preserve">Non-vulnerable runs (TC01, TC12, TC14)</t>
  </si>
  <si>
    <t xml:space="preserve">…with ≥1 confirmed finding (false alarm)</t>
  </si>
  <si>
    <t xml:space="preserve">Run-level false-alarm rate</t>
  </si>
  <si>
    <t xml:space="preserve">Non-vulnerable runs that blocked the gate (DO_NOT_MERGE)</t>
  </si>
  <si>
    <t xml:space="preserve">All confirmed findings</t>
  </si>
  <si>
    <t xml:space="preserve">…TARGET</t>
  </si>
  <si>
    <t xml:space="preserve">…EXTRA-VALID</t>
  </si>
  <si>
    <t xml:space="preserve">…DUPLICATE</t>
  </si>
  <si>
    <t xml:space="preserve">…FALSE</t>
  </si>
  <si>
    <t xml:space="preserve">Precision of confirmed findings ((TARGET + EXTRA-VALID) ÷ all)</t>
  </si>
  <si>
    <t xml:space="preserve">Runs with ≥1 FALSE confirmed finding</t>
  </si>
  <si>
    <t xml:space="preserve">Runs that failed output validation</t>
  </si>
  <si>
    <t xml:space="preserve">E. Timing (median seconds, 46 runs) — linked from 'Timing'</t>
  </si>
  <si>
    <t xml:space="preserve">Whole job</t>
  </si>
  <si>
    <t xml:space="preserve">Run Checkov (excl. install)</t>
  </si>
  <si>
    <t xml:space="preserve">Install Checkov</t>
  </si>
  <si>
    <t xml:space="preserve">Run tfsec</t>
  </si>
  <si>
    <t xml:space="preserve">AI review step</t>
  </si>
  <si>
    <t xml:space="preserve">PR opened → all comments posted (PR runs)</t>
  </si>
  <si>
    <t xml:space="preserve">F. Remediation validation (DCR) — linked from 'Remediation Validation'</t>
  </si>
  <si>
    <t xml:space="preserve">AI remediations tested</t>
  </si>
  <si>
    <t xml:space="preserve">Target resolved vs ground truth</t>
  </si>
  <si>
    <t xml:space="preserve">Passed fmt + validate</t>
  </si>
  <si>
    <t xml:space="preserve">Confirmed by a scanner that had detected the target</t>
  </si>
  <si>
    <t xml:space="preserve">Scanner blind (could not confirm)</t>
  </si>
  <si>
    <t xml:space="preserve">AI re-review accepted its own fix</t>
  </si>
  <si>
    <t xml:space="preserve">AI rejected its own fix with HIGH (stale comment)</t>
  </si>
  <si>
    <t xml:space="preserve">Variant b (comment corrected): AI accepted, of 3</t>
  </si>
  <si>
    <t xml:space="preserve">Remediation of a false finding broke validation</t>
  </si>
  <si>
    <t xml:space="preserve">Evidence register — every factual claim the dissertation will make, traced to its evidence</t>
  </si>
  <si>
    <t xml:space="preserve">Status: Verified = checked against primary evidence; Provisional = depends on TC13–TC15 artefacts or AB's inter-rater check; Pending AB = needs an action from AB. Write-up rule: a claim may appear in the dissertation only if it is here, and Provisional/Pending claims must be re-checked first.</t>
  </si>
  <si>
    <t xml:space="preserve">ID</t>
  </si>
  <si>
    <t xml:space="preserve">Chapter</t>
  </si>
  <si>
    <t xml:space="preserve">Claim</t>
  </si>
  <si>
    <t xml:space="preserve">Evidence type</t>
  </si>
  <si>
    <t xml:space="preserve">Location</t>
  </si>
  <si>
    <t xml:space="preserve">Caveat for the write-up</t>
  </si>
  <si>
    <t xml:space="preserve">E01</t>
  </si>
  <si>
    <t xml:space="preserve">Ch3</t>
  </si>
  <si>
    <t xml:space="preserve">The study compares three conditions: A scanners only, B AI only, C hybrid.</t>
  </si>
  <si>
    <t xml:space="preserve">Planning document</t>
  </si>
  <si>
    <t xml:space="preserve">Project doc 08 Master Plan §3</t>
  </si>
  <si>
    <t xml:space="preserve">Executed as: scanners + AI INDEPENDENT (A and B in one job) and earlier Condition C runs.</t>
  </si>
  <si>
    <t xml:space="preserve">E02</t>
  </si>
  <si>
    <t xml:space="preserve">From 9 Oct 2026 12:47 the workflow default (Condition C) injected normalised scanner findings into the AI prompt via build_scanner_context().</t>
  </si>
  <si>
    <t xml:space="preserve">Repository history</t>
  </si>
  <si>
    <t xml:space="preserve">ai-pr-review commit 732083d</t>
  </si>
  <si>
    <t xml:space="preserve">All hybrid results TC01–TC12 come from this period.</t>
  </si>
  <si>
    <t xml:space="preserve">E03</t>
  </si>
  <si>
    <t xml:space="preserve">PR #69 (merged 13 Oct 09:59, merge commit 3a79020) made the workflow INDEPENDENT; metadata records scanner_findings_supplied_to_ai = false.</t>
  </si>
  <si>
    <t xml:space="preserve">Repository + run metadata</t>
  </si>
  <si>
    <t xml:space="preserve">PR #69; branch prom06-evidence: evidence/prom06/independent-runs/&lt;run_id&gt;/experiment-metadata.json</t>
  </si>
  <si>
    <t xml:space="preserve">E04</t>
  </si>
  <si>
    <t xml:space="preserve">Every independent run (46) executed with INDEPENDENT condition and no scanner input to the AI.</t>
  </si>
  <si>
    <t xml:space="preserve">Run metadata</t>
  </si>
  <si>
    <t xml:space="preserve">branch prom06-evidence: evidence/prom06/independent-runs/ (46 runs, TC13–TC15 artefacts supplied by AB 13 Oct 15:50)</t>
  </si>
  <si>
    <t xml:space="preserve">Metadata lacks the model name (hard-coded in runner).</t>
  </si>
  <si>
    <t xml:space="preserve">E05</t>
  </si>
  <si>
    <t xml:space="preserve">Tool configuration: Checkov 3.3.1 (--framework terraform, secrets framework not run), tfsec 1.28.14, AI claude-sonnet-4-6 via API, max_tokens 3000, no temperature set, at most 3 findings, classification policy 2.2.</t>
  </si>
  <si>
    <t xml:space="preserve">Code</t>
  </si>
  <si>
    <t xml:space="preserve">.github/workflows/terraform.yml; ai/review_runner.py; metadata</t>
  </si>
  <si>
    <t xml:space="preserve">Model name is hard-coded, not recorded in run metadata.</t>
  </si>
  <si>
    <t xml:space="preserve">E06</t>
  </si>
  <si>
    <t xml:space="preserve">The AI receives the changed .tf files plus every terraform/*.tf file, ai/prompt.txt, ai/policy.md and README.md.</t>
  </si>
  <si>
    <t xml:space="preserve">ai/review_runner.py get_terraform_review_context() (lines 28–64)</t>
  </si>
  <si>
    <t xml:space="preserve">E07</t>
  </si>
  <si>
    <t xml:space="preserve">Only CONFIRMED AI findings appear in the PR comment and the operational score.</t>
  </si>
  <si>
    <t xml:space="preserve">ai/review_runner.py format_comment(), calculate_operational_score(); ai/scoring.json</t>
  </si>
  <si>
    <t xml:space="preserve">E08</t>
  </si>
  <si>
    <t xml:space="preserve">Ground truth for TC01–TC12 was documented before tool execution; TC13–TC15 ground truth was committed before their fixtures.</t>
  </si>
  <si>
    <t xml:space="preserve">Planning doc + git order</t>
  </si>
  <si>
    <t xml:space="preserve">Ground-Truth Matrix / Confluence v72; commit cbda52c precedes 1e87e00, 5a48d73, 049f9c9</t>
  </si>
  <si>
    <t xml:space="preserve">TC01–TC12 wording revised in Confluence (v72); use v72.</t>
  </si>
  <si>
    <t xml:space="preserve">E09</t>
  </si>
  <si>
    <t xml:space="preserve">Independent fixtures TC02–TC12 are byte-identical to the original test-case Terraform; TC01 differs by one comment.</t>
  </si>
  <si>
    <t xml:space="preserve">git diff</t>
  </si>
  <si>
    <t xml:space="preserve">branches indep-tc01…12 vs original TC commits</t>
  </si>
  <si>
    <t xml:space="preserve">E10</t>
  </si>
  <si>
    <t xml:space="preserve">Each case ran three times on the same commit (TC08 four times, PR run failed).</t>
  </si>
  <si>
    <t xml:space="preserve">Run list</t>
  </si>
  <si>
    <t xml:space="preserve">branch prom06-evidence: evidence/prom06/independent-runs.tsv; step3/tc13-15-runs.tsv</t>
  </si>
  <si>
    <t xml:space="preserve">E11</t>
  </si>
  <si>
    <t xml:space="preserve">Ch4</t>
  </si>
  <si>
    <t xml:space="preserve">Scanner output was identical across runs and matched a local reproduction with the same versions.</t>
  </si>
  <si>
    <t xml:space="preserve">Raw JSON</t>
  </si>
  <si>
    <t xml:space="preserve">branch prom06-evidence: evidence/prom06/local-scans/TC01–TC15; independent-runs/*/checkov-results.json, tfsec-results.json</t>
  </si>
  <si>
    <t xml:space="preserve">E12</t>
  </si>
  <si>
    <t xml:space="preserve">Detection (TC01–TC12, 10 vulnerable): Checkov 5, tfsec 4, scanner union 8, AI independent 9 + 1 partial.</t>
  </si>
  <si>
    <t xml:space="preserve">Workbook</t>
  </si>
  <si>
    <t xml:space="preserve">Metrics block A; Verified Matrix</t>
  </si>
  <si>
    <t xml:space="preserve">Descriptive only; constructed cases.</t>
  </si>
  <si>
    <t xml:space="preserve">E13</t>
  </si>
  <si>
    <t xml:space="preserve">Detection (TC01–TC15, 12 vulnerable): Checkov 5, tfsec 4, union 8, AI 11 + 1 partial; AI alone found TC09, TC13, TC15; no scanner-only detection.</t>
  </si>
  <si>
    <t xml:space="preserve">Metrics blocks B–C</t>
  </si>
  <si>
    <t xml:space="preserve">E14</t>
  </si>
  <si>
    <t xml:space="preserve">Checkov did not flag SSH/RDP/HTTP open to 0.0.0.0/0 (TC02–TC04) but CKV_AZURE_10 fails when the source is '*'.</t>
  </si>
  <si>
    <t xml:space="preserve">Local probe</t>
  </si>
  <si>
    <t xml:space="preserve">branch prom06-evidence: evidence/prom06/step3/probe-tc02-star/</t>
  </si>
  <si>
    <t xml:space="preserve">Rule value-matching blind spot, not a configuration error.</t>
  </si>
  <si>
    <t xml:space="preserve">E15</t>
  </si>
  <si>
    <t xml:space="preserve">TC08: the AI raised the missing NSG diagnostic setting in all four runs but classified it FALSE_POSITIVE (run failed validation), NEEDS_CONTEXT twice and CONFIRMED once.</t>
  </si>
  <si>
    <t xml:space="preserve">AI output</t>
  </si>
  <si>
    <t xml:space="preserve">branch prom06-evidence: evidence/prom06/independent-runs/38404605125 (ai_raw_response.txt), 38405066857, 38405174844, 38405218950</t>
  </si>
  <si>
    <t xml:space="preserve">Classification instability, not a detection miss.</t>
  </si>
  <si>
    <t xml:space="preserve">E16</t>
  </si>
  <si>
    <t xml:space="preserve">TC12 (legitimate HTTPS) varied across identical runs: blocked (50), LOW tag finding (95), clean (100).</t>
  </si>
  <si>
    <t xml:space="preserve">branch prom06-evidence: evidence/prom06/independent-runs/38404619147, 38405103514, 38405210047</t>
  </si>
  <si>
    <t xml:space="preserve">E17</t>
  </si>
  <si>
    <t xml:space="preserve">AI run level: target confirmed in 34/37 vulnerable-case runs; false alarm in 3/9 non-vulnerable runs; one gate block.</t>
  </si>
  <si>
    <t xml:space="preserve">Metrics block D; AI Run Outcomes</t>
  </si>
  <si>
    <t xml:space="preserve">E18</t>
  </si>
  <si>
    <t xml:space="preserve">45 confirmed AI findings: 34 target, 3 extra-valid, 1 duplicate, 7 false → 82% precision.</t>
  </si>
  <si>
    <t xml:space="preserve">AI Confirmed Findings (labels by research assistant)</t>
  </si>
  <si>
    <t xml:space="preserve">Labels are the assistant's judgement against ground truth; AB to spot-check the 7 FALSE labels.</t>
  </si>
  <si>
    <t xml:space="preserve">E19</t>
  </si>
  <si>
    <t xml:space="preserve">The AI claimed TAG-001 applies to azurerm_role_definition and azurerm_network_security_rule; applying its tag fix failed terraform validate.</t>
  </si>
  <si>
    <t xml:space="preserve">AI output + CI run</t>
  </si>
  <si>
    <t xml:space="preserve">TC10 runs 1, 3; TC12 runs 1, 2; PR #94 run 38412955313; branch prom06-evidence: evidence/prom06/step3/rem-logs/38412955313-terraform-validate.txt</t>
  </si>
  <si>
    <t xml:space="preserve">Validate error: Unsupported argument — An argument named "tags" is not expected here (tc10_iam.tf line 14).</t>
  </si>
  <si>
    <t xml:space="preserve">E20</t>
  </si>
  <si>
    <t xml:space="preserve">AI quality (37 vulnerable-case runs): mean 0–2 scores — see AI Quality Scoring summary (revised 13 Oct); 46 runs scored in total.</t>
  </si>
  <si>
    <t xml:space="preserve">AI Quality Scoring; Scoring Rules</t>
  </si>
  <si>
    <t xml:space="preserve">Single rubric application by AI assistant; no independent second rater (limitation).</t>
  </si>
  <si>
    <t xml:space="preserve">E21</t>
  </si>
  <si>
    <t xml:space="preserve">9 of 46 runs mapped findings to an inapplicable policy, mostly SEC-001; ai/policy.md has no encryption, IAM or secrets policy.</t>
  </si>
  <si>
    <t xml:space="preserve">Workbook + code</t>
  </si>
  <si>
    <t xml:space="preserve">AI Quality Scoring col P; ai/policy.md</t>
  </si>
  <si>
    <t xml:space="preserve">Input asymmetry: policy.md is given to the AI only.</t>
  </si>
  <si>
    <t xml:space="preserve">E22</t>
  </si>
  <si>
    <t xml:space="preserve">Median timing: job 77 s, AI step 31.5 s, Checkov 6 s (+19.5 s install), tfsec 1 s, PR opened → comments 79 s.</t>
  </si>
  <si>
    <t xml:space="preserve">GitHub jobs API</t>
  </si>
  <si>
    <t xml:space="preserve">branch prom06-evidence: evidence/prom06/step3/jobs/; Timing sheet</t>
  </si>
  <si>
    <t xml:space="preserve">1-second resolution; sequential steps.</t>
  </si>
  <si>
    <t xml:space="preserve">E23</t>
  </si>
  <si>
    <t xml:space="preserve">Applying each AI fix resolved the target in 12/12 cases and passed fmt/validate; 8 confirmed by the scanner that had flagged the issue.</t>
  </si>
  <si>
    <t xml:space="preserve">CI runs + local scans</t>
  </si>
  <si>
    <t xml:space="preserve">PRs #85–#97; branch prom06-evidence: evidence/prom06/step3/rem-*; Remediation Validation</t>
  </si>
  <si>
    <t xml:space="preserve">Fixes implemented by the research assistant; one run each.</t>
  </si>
  <si>
    <t xml:space="preserve">E24</t>
  </si>
  <si>
    <t xml:space="preserve">With stale 'Deliberately unrestricted' comments, the AI rejected its own TC02/TC03 fixes (HIGH); with only the comment corrected it accepted them.</t>
  </si>
  <si>
    <t xml:space="preserve">CI runs</t>
  </si>
  <si>
    <t xml:space="preserve">PR #85 vs #98; #86 vs #99</t>
  </si>
  <si>
    <t xml:space="preserve">Single run per variant.</t>
  </si>
  <si>
    <t xml:space="preserve">E25</t>
  </si>
  <si>
    <t xml:space="preserve">The AI quotes in-code 'Ground truth:' comments (TC12 run 3); TC11 fixture contains a similar comment.</t>
  </si>
  <si>
    <t xml:space="preserve">AI output + fixture</t>
  </si>
  <si>
    <t xml:space="preserve">38405210047 ai_output.json F-002; indep-tc11 tc11_requirements.tf</t>
  </si>
  <si>
    <t xml:space="preserve">Cueing threat; links to prompt-injection literature.</t>
  </si>
  <si>
    <t xml:space="preserve">E26</t>
  </si>
  <si>
    <t xml:space="preserve">A PR that only deletes .tf files is not reviewed by the AI.</t>
  </si>
  <si>
    <t xml:space="preserve">Code + CI run</t>
  </si>
  <si>
    <t xml:space="preserve">review_runner.py (is_file filter); PR #93 AI comment</t>
  </si>
  <si>
    <t xml:space="preserve">Deletion-only changes bypass AI review.</t>
  </si>
  <si>
    <t xml:space="preserve">E27</t>
  </si>
  <si>
    <t xml:space="preserve">Hybrid (Condition C) AI detected 10/10 vulnerable cases while citing scanner rule IDs; TC01 hybrid result is unverified.</t>
  </si>
  <si>
    <t xml:space="preserve">PR comments</t>
  </si>
  <si>
    <t xml:space="preserve">Hybrid Runs (Condition C); PRs #46, #55–#68</t>
  </si>
  <si>
    <t xml:space="preserve">Not comparable with independent results: scanner-informed.</t>
  </si>
  <si>
    <t xml:space="preserve">E28</t>
  </si>
  <si>
    <t xml:space="preserve">Hybrid severities were higher than independent (SSH/RDP CRITICAL vs HIGH); TC10 hybrid gave 2×CRITICAL then 1×HIGH on the same commit.</t>
  </si>
  <si>
    <t xml:space="preserve">PRs #56, #57, #66 vs #71, #72, #79</t>
  </si>
  <si>
    <t xml:space="preserve">E29</t>
  </si>
  <si>
    <t xml:space="preserve">Ch5</t>
  </si>
  <si>
    <t xml:space="preserve">The TC01 baseline and prompt were changed after early AI findings (PR #46 → #47–#54).</t>
  </si>
  <si>
    <t xml:space="preserve">PRs #46–#55</t>
  </si>
  <si>
    <t xml:space="preserve">Circularity threat.</t>
  </si>
  <si>
    <t xml:space="preserve">E30</t>
  </si>
  <si>
    <t xml:space="preserve">TC07 is not single-variable: Checkov fails 10 unrelated storage checks.</t>
  </si>
  <si>
    <t xml:space="preserve">branch prom06-evidence: evidence/prom06/local-scans/TC07/checkov.json</t>
  </si>
  <si>
    <t xml:space="preserve">E31</t>
  </si>
  <si>
    <t xml:space="preserve">TC11 construct not isolated: CKV_AZURE_39 fires on the wildcard alone.</t>
  </si>
  <si>
    <t xml:space="preserve">branch prom06-evidence: evidence/prom06/local-scans/TC11</t>
  </si>
  <si>
    <t xml:space="preserve">E32</t>
  </si>
  <si>
    <t xml:space="preserve">The AI quality scorer was an AI assistant that had read the outputs before writing operational rules.</t>
  </si>
  <si>
    <t xml:space="preserve">Process record</t>
  </si>
  <si>
    <t xml:space="preserve">Scoring Rules sheet</t>
  </si>
  <si>
    <t xml:space="preserve">Disclose; no inter-rater check performed (AB decision, 13 Oct).</t>
  </si>
  <si>
    <t xml:space="preserve">E33</t>
  </si>
  <si>
    <t xml:space="preserve">The Confluence evidence page calls the Condition C AI results 'independent' and labels TC11 as Condition B.</t>
  </si>
  <si>
    <t xml:space="preserve">Confluence</t>
  </si>
  <si>
    <t xml:space="preserve">Page 131215 v72</t>
  </si>
  <si>
    <t xml:space="preserve">Page left unchanged at AB's decision; explain in Ch5 if relevant.</t>
  </si>
  <si>
    <t xml:space="preserve">E34</t>
  </si>
  <si>
    <t xml:space="preserve">Submission deadline 26 Oct 2026 23:59.</t>
  </si>
  <si>
    <t xml:space="preserve">Canvas export</t>
  </si>
  <si>
    <t xml:space="preserve">Project doc 11</t>
  </si>
  <si>
    <t xml:space="preserve">From Canvas export; AB chose not to re-check live Canvas (13 Oct).</t>
  </si>
  <si>
    <t xml:space="preserve">E36</t>
  </si>
  <si>
    <t xml:space="preserve">Explanations overstated technical facts in some runs: Contributor described as able to change role assignments (TC13 runs 2–3, contradicted by Microsoft's role definition); an unreferenced local said to be present in state now (TC09 run 2).</t>
  </si>
  <si>
    <t xml:space="preserve">AI output + vendor docs</t>
  </si>
  <si>
    <t xml:space="preserve">branch prom06-evidence: evidence/prom06/independent-runs/38409804722, 38409830032, 38405075984; Microsoft Learn Azure built-in roles (Contributor NotActions)</t>
  </si>
  <si>
    <t xml:space="preserve">Conditional state-exposure claims (TC09 runs 1, 3; TC15 run 2) are consistent with HashiCorp guidance and were not penalised.</t>
  </si>
  <si>
    <t xml:space="preserve">E37</t>
  </si>
  <si>
    <t xml:space="preserve">With its secrets framework enabled, Checkov flags the TC09 string as high-entropy (CKV_SECRET_6) but not the readable password in TC15.</t>
  </si>
  <si>
    <t xml:space="preserve">branch prom06-evidence: evidence/prom06/step3/probe-secrets/</t>
  </si>
  <si>
    <t xml:space="preserve">Probe outside the experimental configuration (pipeline runs --framework terraform only).</t>
  </si>
  <si>
    <t xml:space="preserve">E35</t>
  </si>
  <si>
    <t xml:space="preserve">No test PR was merged and the experimental workflow contains no terraform apply step.</t>
  </si>
  <si>
    <t xml:space="preserve">GitHub PR state + workflow</t>
  </si>
  <si>
    <t xml:space="preserve">Test PRs #56–#68 and #70–#100 unmerged (PR #69, the workflow change, was merged); .github/workflows/terraform.yml</t>
  </si>
  <si>
    <t xml:space="preserve">A Terraform Cloud check also ran on PRs (speculative plan, to confirm); close PRs unmerged after sign-off.</t>
  </si>
  <si>
    <t xml:space="preserve">Planned figures, screenshots, tables and appendices (provisional numbering)</t>
  </si>
  <si>
    <t xml:space="preserve">Figures F* are rendered at 300 dpi from this workbook by scripts in the evidence branch. Screenshots S* must be captured by AB from GitHub (the assistant cannot screenshot web pages). Excluded from the word count per the brief.</t>
  </si>
  <si>
    <t xml:space="preserve">Kind</t>
  </si>
  <si>
    <t xml:space="preserve">No.</t>
  </si>
  <si>
    <t xml:space="preserve">Content</t>
  </si>
  <si>
    <t xml:space="preserve">Source</t>
  </si>
  <si>
    <t xml:space="preserve">Figure</t>
  </si>
  <si>
    <t xml:space="preserve">F3.1</t>
  </si>
  <si>
    <t xml:space="preserve">Experimental pipeline and conditions</t>
  </si>
  <si>
    <t xml:space="preserve">figures/fig_architecture.png (Graphviz source .dot)</t>
  </si>
  <si>
    <t xml:space="preserve">Ready</t>
  </si>
  <si>
    <t xml:space="preserve">Shows Condition C injection path.</t>
  </si>
  <si>
    <t xml:space="preserve">F4.1</t>
  </si>
  <si>
    <t xml:space="preserve">Detection outcome by case and tool (TC01–TC15)</t>
  </si>
  <si>
    <t xml:space="preserve">figures/fig_detection_matrix.png</t>
  </si>
  <si>
    <t xml:space="preserve">F4.2</t>
  </si>
  <si>
    <t xml:space="preserve">Detection rate by tool, two case sets</t>
  </si>
  <si>
    <t xml:space="preserve">figures/fig_detection_rates.png</t>
  </si>
  <si>
    <t xml:space="preserve">F4.3</t>
  </si>
  <si>
    <t xml:space="preserve">AI explanation/remediation quality by rubric dimension</t>
  </si>
  <si>
    <t xml:space="preserve">figures/fig_ai_quality.png</t>
  </si>
  <si>
    <t xml:space="preserve">F4.4</t>
  </si>
  <si>
    <t xml:space="preserve">Median pipeline timings</t>
  </si>
  <si>
    <t xml:space="preserve">figures/fig_timing.png</t>
  </si>
  <si>
    <t xml:space="preserve">F4.5</t>
  </si>
  <si>
    <t xml:space="preserve">Remediation validation outcomes</t>
  </si>
  <si>
    <t xml:space="preserve">figures/fig_remediation.png</t>
  </si>
  <si>
    <t xml:space="preserve">Screenshot</t>
  </si>
  <si>
    <t xml:space="preserve">S1</t>
  </si>
  <si>
    <t xml:space="preserve">PR #71 (TC02): Checkov clean vs tfsec and AI findings</t>
  </si>
  <si>
    <t xml:space="preserve">GitHub PR page</t>
  </si>
  <si>
    <t xml:space="preserve">Pending AB</t>
  </si>
  <si>
    <t xml:space="preserve">S2</t>
  </si>
  <si>
    <t xml:space="preserve">PR #78 (TC09): AI-only detection of an embedded secret</t>
  </si>
  <si>
    <t xml:space="preserve">S3</t>
  </si>
  <si>
    <t xml:space="preserve">PR #77 (TC08): failed run / validation rejection</t>
  </si>
  <si>
    <t xml:space="preserve">GitHub Actions run 38404605125</t>
  </si>
  <si>
    <t xml:space="preserve">S4</t>
  </si>
  <si>
    <t xml:space="preserve">PR #81 (TC12): block on legitimate HTTPS (run 1)</t>
  </si>
  <si>
    <t xml:space="preserve">S5</t>
  </si>
  <si>
    <t xml:space="preserve">PRs #82 and #84 (TC13, TC15): AI-only detections</t>
  </si>
  <si>
    <t xml:space="preserve">GitHub PR pages</t>
  </si>
  <si>
    <t xml:space="preserve">S6</t>
  </si>
  <si>
    <t xml:space="preserve">PR #85 vs #98: stale comment changes the AI verdict</t>
  </si>
  <si>
    <t xml:space="preserve">S7</t>
  </si>
  <si>
    <t xml:space="preserve">PR #94: AI tag fix fails terraform validate</t>
  </si>
  <si>
    <t xml:space="preserve">GitHub Actions run 38412955313 (log text already archived)</t>
  </si>
  <si>
    <t xml:space="preserve">Optional: log text can be shown as a code listing instead.</t>
  </si>
  <si>
    <t xml:space="preserve">S8</t>
  </si>
  <si>
    <t xml:space="preserve">Run summary page showing uploaded artefacts</t>
  </si>
  <si>
    <t xml:space="preserve">Any independent run</t>
  </si>
  <si>
    <t xml:space="preserve">Table</t>
  </si>
  <si>
    <t xml:space="preserve">T3.1</t>
  </si>
  <si>
    <t xml:space="preserve">Test cases TC01–TC15 with ground truth and purpose</t>
  </si>
  <si>
    <t xml:space="preserve">Confluence v72; ground-truth/TC13-TC15</t>
  </si>
  <si>
    <t xml:space="preserve">To produce</t>
  </si>
  <si>
    <t xml:space="preserve">T3.2</t>
  </si>
  <si>
    <t xml:space="preserve">Tool versions and configuration</t>
  </si>
  <si>
    <t xml:space="preserve">E05, E06</t>
  </si>
  <si>
    <t xml:space="preserve">T3.3</t>
  </si>
  <si>
    <t xml:space="preserve">Classification codes and normalisation rules</t>
  </si>
  <si>
    <t xml:space="preserve">Verified Matrix README; Decisions &amp; Caveats</t>
  </si>
  <si>
    <t xml:space="preserve">T3.4</t>
  </si>
  <si>
    <t xml:space="preserve">Remediation-quality rubric with operational rules</t>
  </si>
  <si>
    <t xml:space="preserve">Scoring Rules</t>
  </si>
  <si>
    <t xml:space="preserve">T4.1</t>
  </si>
  <si>
    <t xml:space="preserve">Case-level detection metrics</t>
  </si>
  <si>
    <t xml:space="preserve">Metrics A–C</t>
  </si>
  <si>
    <t xml:space="preserve">T4.2</t>
  </si>
  <si>
    <t xml:space="preserve">AI run-level metrics and confirmed-finding precision</t>
  </si>
  <si>
    <t xml:space="preserve">Metrics D</t>
  </si>
  <si>
    <t xml:space="preserve">T4.3</t>
  </si>
  <si>
    <t xml:space="preserve">False confirmed AI findings (7) with explanation</t>
  </si>
  <si>
    <t xml:space="preserve">AI Confirmed Findings</t>
  </si>
  <si>
    <t xml:space="preserve">T4.4</t>
  </si>
  <si>
    <t xml:space="preserve">Remediation validation by case</t>
  </si>
  <si>
    <t xml:space="preserve">Remediation Validation</t>
  </si>
  <si>
    <t xml:space="preserve">T4.5</t>
  </si>
  <si>
    <t xml:space="preserve">Independent vs hybrid AI (TC01–TC12)</t>
  </si>
  <si>
    <t xml:space="preserve">Hybrid Runs; Verified Matrix</t>
  </si>
  <si>
    <t xml:space="preserve">T5.1</t>
  </si>
  <si>
    <t xml:space="preserve">Threats to validity and mitigations</t>
  </si>
  <si>
    <t xml:space="preserve">E29–E33, Decisions &amp; Caveats</t>
  </si>
  <si>
    <t xml:space="preserve">Appendix</t>
  </si>
  <si>
    <t xml:space="preserve">App A</t>
  </si>
  <si>
    <t xml:space="preserve">Evidence index (branch, paths, run IDs, PRs)</t>
  </si>
  <si>
    <t xml:space="preserve">This register + evidence README</t>
  </si>
  <si>
    <t xml:space="preserve">App B</t>
  </si>
  <si>
    <t xml:space="preserve">Ground truth TC01–TC15</t>
  </si>
  <si>
    <t xml:space="preserve">Confluence v72; ground-truth file</t>
  </si>
  <si>
    <t xml:space="preserve">App C</t>
  </si>
  <si>
    <t xml:space="preserve">AI prompt and policy (prompt.txt, policy.md)</t>
  </si>
  <si>
    <t xml:space="preserve">Repository</t>
  </si>
  <si>
    <t xml:space="preserve">App D</t>
  </si>
  <si>
    <t xml:space="preserve">Full per-run AI scores and confirmed findings</t>
  </si>
  <si>
    <t xml:space="preserve">AI Quality Scoring; AI Confirmed Findings</t>
  </si>
  <si>
    <t xml:space="preserve">App E</t>
  </si>
  <si>
    <t xml:space="preserve">Project management record</t>
  </si>
  <si>
    <t xml:space="preserve">Project doc 07 (PROM05 plan) + actual timeline</t>
  </si>
  <si>
    <t xml:space="preserve">PR</t>
  </si>
  <si>
    <t xml:space="preserve">Run ID</t>
  </si>
  <si>
    <t xml:space="preserve">Event</t>
  </si>
  <si>
    <t xml:space="preserve">Started (UTC)</t>
  </si>
  <si>
    <t xml:space="preserve">Commit</t>
  </si>
  <si>
    <t xml:space="preserve">Condition (metadata)</t>
  </si>
  <si>
    <t xml:space="preserve">Scanner findings supplied to AI</t>
  </si>
  <si>
    <t xml:space="preserve">AI output status</t>
  </si>
  <si>
    <t xml:space="preserve">Confirmed findings</t>
  </si>
  <si>
    <t xml:space="preserve">Other findings (not in PR comment)</t>
  </si>
  <si>
    <t xml:space="preserve">Operational score</t>
  </si>
  <si>
    <t xml:space="preserve">Verdict</t>
  </si>
  <si>
    <t xml:space="preserve">pull_request</t>
  </si>
  <si>
    <t xml:space="preserve">2026-10-13 13:23:46</t>
  </si>
  <si>
    <t xml:space="preserve">92ab884</t>
  </si>
  <si>
    <t xml:space="preserve">INDEPENDENT</t>
  </si>
  <si>
    <t xml:space="preserve">FALSE</t>
  </si>
  <si>
    <t xml:space="preserve">parsed</t>
  </si>
  <si>
    <t xml:space="preserve">none</t>
  </si>
  <si>
    <t xml:space="preserve">FALSE_POSITIVE · INFORMATIONAL · Private DNS zone name extraction via split() index — plausible concern, not a defect</t>
  </si>
  <si>
    <t xml:space="preserve">APPROVE</t>
  </si>
  <si>
    <t xml:space="preserve">workflow_dispatch</t>
  </si>
  <si>
    <t xml:space="preserve">2026-10-13 13:26:53</t>
  </si>
  <si>
    <t xml:space="preserve">2026-10-13 13:27:41</t>
  </si>
  <si>
    <t xml:space="preserve">FALSE_POSITIVE · INFORMATIONAL · NSG deny-all outbound rule may be flagged as redundant by scanners
FALSE_POSITIVE · INFORMATIONAL · DDoS Protection Standard not enabled — inapplicable to research workload
FALSE_POSITIVE · INFORMATIONAL · Subnet NSG association is correctly configured</t>
  </si>
  <si>
    <t xml:space="preserve">3eda6f7</t>
  </si>
  <si>
    <t xml:space="preserve">HIGH · SECURITY_VULNERABILITY · Unrestricted inbound SSH access permitted from any source address</t>
  </si>
  <si>
    <t xml:space="preserve">APPROVE_WITH_COMMENTS</t>
  </si>
  <si>
    <t xml:space="preserve">2026-10-13 13:26:59</t>
  </si>
  <si>
    <t xml:space="preserve">HIGH · SECURITY_VULNERABILITY · Inbound SSH (port 22) permitted from any source address (0.0.0.0/0)</t>
  </si>
  <si>
    <t xml:space="preserve">2026-10-13 13:27:45</t>
  </si>
  <si>
    <t xml:space="preserve">HIGH · SECURITY_VULNERABILITY · NSG permits inbound SSH (TCP/22) from any source (0.0.0.0/0)</t>
  </si>
  <si>
    <t xml:space="preserve">2026-10-13 13:23:47</t>
  </si>
  <si>
    <t xml:space="preserve">27789d9</t>
  </si>
  <si>
    <t xml:space="preserve">HIGH · SECURITY_VULNERABILITY · RDP (TCP/3389) publicly accessible from any source address</t>
  </si>
  <si>
    <t xml:space="preserve">2026-10-13 13:27:00</t>
  </si>
  <si>
    <t xml:space="preserve">HIGH · SECURITY_VULNERABILITY · Unrestricted inbound RDP (port 3389) permitted from 0.0.0.0/0</t>
  </si>
  <si>
    <t xml:space="preserve">2026-10-13 13:27:48</t>
  </si>
  <si>
    <t xml:space="preserve">HIGH · SECURITY_VULNERABILITY · Unrestricted inbound RDP access from any source (0.0.0.0/0) on port 3389
HIGH · POLICY_OR_COMPLIANCE · SEC-001 violation: public RDP exposure without documented policy justification</t>
  </si>
  <si>
    <t xml:space="preserve">DO_NOT_MERGE</t>
  </si>
  <si>
    <t xml:space="preserve">2026-10-13 13:23:50</t>
  </si>
  <si>
    <t xml:space="preserve">cbc6855</t>
  </si>
  <si>
    <t xml:space="preserve">HIGH · SECURITY_VULNERABILITY · Unrestricted inbound HTTP (TCP/80) permitted from any source via NSG rule</t>
  </si>
  <si>
    <t xml:space="preserve">2026-10-13 13:27:06</t>
  </si>
  <si>
    <t xml:space="preserve">HIGH · SECURITY_VULNERABILITY · NSG allows unrestricted inbound HTTP (TCP/80) from any IPv4 address</t>
  </si>
  <si>
    <t xml:space="preserve">2026-10-13 13:27:53</t>
  </si>
  <si>
    <t xml:space="preserve">HIGH · SECURITY_VULNERABILITY · NSG rule permits unrestricted inbound HTTP (TCP/80) from any IPv4 source</t>
  </si>
  <si>
    <t xml:space="preserve">2026-10-13 13:23:48</t>
  </si>
  <si>
    <t xml:space="preserve">14486bd</t>
  </si>
  <si>
    <t xml:space="preserve">HIGH · POLICY_OR_COMPLIANCE · Subnet has no NSG association (NET-001 violation)</t>
  </si>
  <si>
    <t xml:space="preserve">NEEDS_CONTEXT · LOW · DNS configuration comment implies intended custom resolver not yet configured</t>
  </si>
  <si>
    <t xml:space="preserve">2026-10-13 13:27:10</t>
  </si>
  <si>
    <t xml:space="preserve">HIGH · POLICY_OR_COMPLIANCE · Subnet 'subnet-demo' has no NSG association (NET-001 violation)</t>
  </si>
  <si>
    <t xml:space="preserve">NEEDS_CONTEXT · LOW · VNet dns_servers is empty but comment references a custom resolver</t>
  </si>
  <si>
    <t xml:space="preserve">2026-10-13 13:27:57</t>
  </si>
  <si>
    <t xml:space="preserve">MEDIUM · POLICY_OR_COMPLIANCE · Subnet has no NSG association (NET-001 violation)</t>
  </si>
  <si>
    <t xml:space="preserve">NEEDS_CONTEXT · LOW · VNet DNS server configuration ambiguous relative to NET-002</t>
  </si>
  <si>
    <t xml:space="preserve">2026-10-13 13:23:51</t>
  </si>
  <si>
    <t xml:space="preserve">eb51ee9</t>
  </si>
  <si>
    <t xml:space="preserve">MEDIUM · POLICY_OR_COMPLIANCE · Virtual Network uses a public DNS server in violation of NET-002</t>
  </si>
  <si>
    <t xml:space="preserve">2026-10-13 13:27:14</t>
  </si>
  <si>
    <t xml:space="preserve">MEDIUM · POLICY_OR_COMPLIANCE · VNet configured with public DNS resolver in violation of NET-002</t>
  </si>
  <si>
    <t xml:space="preserve">2026-10-13 13:28:00</t>
  </si>
  <si>
    <t xml:space="preserve">MEDIUM · POLICY_OR_COMPLIANCE · VNet configured with public DNS server in violation of NET-002</t>
  </si>
  <si>
    <t xml:space="preserve">b6e93b7</t>
  </si>
  <si>
    <t xml:space="preserve">HIGH · SECURITY_VULNERABILITY · Storage account permits insecure TLS 1.0 and TLS 1.1 connections
LOW · POLICY_OR_COMPLIANCE · Storage account missing mandatory tags: owner, cost-center, research_case</t>
  </si>
  <si>
    <t xml:space="preserve">NEEDS_CONTEXT · MEDIUM · Storage account has no network access restrictions configured</t>
  </si>
  <si>
    <t xml:space="preserve">2026-10-13 13:27:16</t>
  </si>
  <si>
    <t xml:space="preserve">HIGH · SECURITY_VULNERABILITY · Storage account allows deprecated TLS 1.0 connections
LOW · POLICY_OR_COMPLIANCE · Storage account missing mandatory tags: owner and cost-center</t>
  </si>
  <si>
    <t xml:space="preserve">NEEDS_CONTEXT · MEDIUM · Storage account may permit public network access with no network restrictions configured</t>
  </si>
  <si>
    <t xml:space="preserve">2026-10-13 13:28:05</t>
  </si>
  <si>
    <t xml:space="preserve">HIGH · SECURITY_VULNERABILITY · Storage account permits deprecated TLS 1.0 connections
LOW · POLICY_OR_COMPLIANCE · Storage account missing mandatory tags: owner and cost-center</t>
  </si>
  <si>
    <t xml:space="preserve">NEEDS_CONTEXT · HIGH · Storage account may be publicly accessible with no network restriction</t>
  </si>
  <si>
    <t xml:space="preserve">2026-10-13 13:23:55</t>
  </si>
  <si>
    <t xml:space="preserve">c86e4d5</t>
  </si>
  <si>
    <t xml:space="preserve">AI step failed</t>
  </si>
  <si>
    <t xml:space="preserve">Output rejected by validator: FALSE_POSITIVE/INFORMATIONAL 'No azurerm_monitor_diagnostic_setting configured for the NSG' with a policy mapping to a non-confirmed finding</t>
  </si>
  <si>
    <t xml:space="preserve">2026-10-13 13:27:23</t>
  </si>
  <si>
    <t xml:space="preserve">NEEDS_CONTEXT · MEDIUM · No diagnostic setting configured for the NSG resource
FALSE_POSITIVE · INFORMATIONAL · Explicit outbound deny rule is intentional defense-in-depth, not redundant
FALSE_POSITIVE · INFORMATIONAL · Private-only Log Analytics access is intentional; no client workload in TC01 scope</t>
  </si>
  <si>
    <t xml:space="preserve">2026-10-13 13:28:07</t>
  </si>
  <si>
    <t xml:space="preserve">NEEDS_CONTEXT · MEDIUM · No azurerm_monitor_diagnostic_setting configured for the NSG resource</t>
  </si>
  <si>
    <t xml:space="preserve">2026-10-13 13:28:40</t>
  </si>
  <si>
    <t xml:space="preserve">MEDIUM · POLICY_OR_COMPLIANCE · No diagnostic setting configured to forward NSG logs to Log Analytics</t>
  </si>
  <si>
    <t xml:space="preserve">2026-10-13 13:23:54</t>
  </si>
  <si>
    <t xml:space="preserve">277a730</t>
  </si>
  <si>
    <t xml:space="preserve">MEDIUM · SECURITY_VULNERABILITY · Hardcoded secret value embedded in Terraform local in source-controlled file</t>
  </si>
  <si>
    <t xml:space="preserve">2026-10-13 13:27:28</t>
  </si>
  <si>
    <t xml:space="preserve">MEDIUM · SECURITY_VULNERABILITY · Hardcoded credential-shaped string stored as a plaintext Terraform local in source control</t>
  </si>
  <si>
    <t xml:space="preserve">2026-10-13 13:28:12</t>
  </si>
  <si>
    <t xml:space="preserve">MEDIUM · SECURITY_VULNERABILITY · Hardcoded secret-like string embedded in Terraform local value</t>
  </si>
  <si>
    <t xml:space="preserve">2026-10-13 13:23:59</t>
  </si>
  <si>
    <t xml:space="preserve">bd8a61f</t>
  </si>
  <si>
    <t xml:space="preserve">HIGH · SECURITY_VULNERABILITY · Custom role definition grants unrestricted wildcard ('*') permissions at subscription scope
LOW · POLICY_OR_COMPLIANCE · Custom role definition is missing mandatory tags required by TAG-001</t>
  </si>
  <si>
    <t xml:space="preserve">2026-10-13 13:27:31</t>
  </si>
  <si>
    <t xml:space="preserve">HIGH · SECURITY_VULNERABILITY · Custom role definition grants wildcard (*) permissions at subscription scope</t>
  </si>
  <si>
    <t xml:space="preserve">2026-10-13 13:28:16</t>
  </si>
  <si>
    <t xml:space="preserve">HIGH · SECURITY_VULNERABILITY · Subscription-scoped wildcard role definition grants unrestricted ARM permissions
LOW · POLICY_OR_COMPLIANCE · Custom role definition missing mandatory tags required by TAG-001</t>
  </si>
  <si>
    <t xml:space="preserve">2026-10-13 13:23:57</t>
  </si>
  <si>
    <t xml:space="preserve">3dd9a04</t>
  </si>
  <si>
    <t xml:space="preserve">HIGH · SECURITY_VULNERABILITY · Custom RBAC role grants wildcard (*) permissions at subscription scope, violating least privilege</t>
  </si>
  <si>
    <t xml:space="preserve">2026-10-13 13:27:32</t>
  </si>
  <si>
    <t xml:space="preserve">HIGH · SECURITY_VULNERABILITY · Custom role grants wildcard subscription-scope permissions far exceeding documented task requirements</t>
  </si>
  <si>
    <t xml:space="preserve">2026-10-13 13:28:23</t>
  </si>
  <si>
    <t xml:space="preserve">HIGH · SECURITY_VULNERABILITY · Custom role definition grants wildcard subscription-scope permissions far exceeding documented task requirements</t>
  </si>
  <si>
    <t xml:space="preserve">2026-10-13 13:24:01</t>
  </si>
  <si>
    <t xml:space="preserve">9cee1fe</t>
  </si>
  <si>
    <t xml:space="preserve">HIGH · SECURITY_VULNERABILITY · NSG rule permits unrestricted public inbound HTTPS to the entire subnet
MEDIUM · POLICY_OR_COMPLIANCE · SEC-001: Public exposure broader than documented justification
LOW · POLICY_OR_COMPLIANCE · TAG-001: azurerm_network_security_rule.tc12_public_https missing mandatory tags</t>
  </si>
  <si>
    <t xml:space="preserve">2026-10-13 13:27:39</t>
  </si>
  <si>
    <t xml:space="preserve">LOW · POLICY_OR_COMPLIANCE · NSG security rule tc12_public_https is missing mandatory tags (TAG-001)</t>
  </si>
  <si>
    <t xml:space="preserve">NEEDS_CONTEXT · LOW · Public HTTPS rule uses wildcard destination address prefix — scope unknown</t>
  </si>
  <si>
    <t xml:space="preserve">2026-10-13 13:28:25</t>
  </si>
  <si>
    <t xml:space="preserve">NEEDS_CONTEXT · MEDIUM · AllowPublicHTTPS-TC12 rule uses wildcard destination address prefix
FALSE_POSITIVE · INFORMATIONAL · Public inbound HTTPS rule is explicitly justified — not a SEC-001 violation
FALSE_POSITIVE · INFORMATIONAL · azurerm_network_security_rule does not support tags — TAG-001 not applicable</t>
  </si>
  <si>
    <t xml:space="preserve">Source: experiment-metadata.json and ai_output.json in each prom06-INDEPENDENT-&lt;run_id&gt; artifact (downloaded by AB, 13 Oct 2026). Model: claude-sonnet-4-6 (hard-coded in ai/review_runner.py; not recorded in metadata); no temperature set.</t>
  </si>
  <si>
    <t xml:space="preserve">AI independent condition — one row per run (46 runs)</t>
  </si>
  <si>
    <t xml:space="preserve">Counts (black) are formulas over 'AI Confirmed Findings'. Score/decision: TC01–TC12 linked from 'Independent AI Runs' (green); TC13–TC15 typed from ai_output.json operational_score and verdict in the run artefacts (blue).</t>
  </si>
  <si>
    <t xml:space="preserve">Run</t>
  </si>
  <si>
    <t xml:space="preserve">TARGET</t>
  </si>
  <si>
    <t xml:space="preserve">EXTRA-VALID</t>
  </si>
  <si>
    <t xml:space="preserve">DUPLICATE</t>
  </si>
  <si>
    <t xml:space="preserve">Target confirmed?</t>
  </si>
  <si>
    <t xml:space="preserve">Decision</t>
  </si>
  <si>
    <t xml:space="preserve">38404582550</t>
  </si>
  <si>
    <t xml:space="preserve">38405003190</t>
  </si>
  <si>
    <t xml:space="preserve">38405111880</t>
  </si>
  <si>
    <t xml:space="preserve">38404584887</t>
  </si>
  <si>
    <t xml:space="preserve">38405012851</t>
  </si>
  <si>
    <t xml:space="preserve">38405121064</t>
  </si>
  <si>
    <t xml:space="preserve">38404589228</t>
  </si>
  <si>
    <t xml:space="preserve">38405022162</t>
  </si>
  <si>
    <t xml:space="preserve">38405130215</t>
  </si>
  <si>
    <t xml:space="preserve">38404592498</t>
  </si>
  <si>
    <t xml:space="preserve">38405031009</t>
  </si>
  <si>
    <t xml:space="preserve">38405139458</t>
  </si>
  <si>
    <t xml:space="preserve">38404594354</t>
  </si>
  <si>
    <t xml:space="preserve">38405039302</t>
  </si>
  <si>
    <t xml:space="preserve">38405149036</t>
  </si>
  <si>
    <t xml:space="preserve">38404596950</t>
  </si>
  <si>
    <t xml:space="preserve">38405047995</t>
  </si>
  <si>
    <t xml:space="preserve">38405157604</t>
  </si>
  <si>
    <t xml:space="preserve">38404600206</t>
  </si>
  <si>
    <t xml:space="preserve">38405057461</t>
  </si>
  <si>
    <t xml:space="preserve">38405166219</t>
  </si>
  <si>
    <t xml:space="preserve">38404605125</t>
  </si>
  <si>
    <t xml:space="preserve">38405066857</t>
  </si>
  <si>
    <t xml:space="preserve">38405174844</t>
  </si>
  <si>
    <t xml:space="preserve">38405218950</t>
  </si>
  <si>
    <t xml:space="preserve">38404607277</t>
  </si>
  <si>
    <t xml:space="preserve">38405075984</t>
  </si>
  <si>
    <t xml:space="preserve">38405183161</t>
  </si>
  <si>
    <t xml:space="preserve">38404612132</t>
  </si>
  <si>
    <t xml:space="preserve">38405084901</t>
  </si>
  <si>
    <t xml:space="preserve">38405192342</t>
  </si>
  <si>
    <t xml:space="preserve">38404613836</t>
  </si>
  <si>
    <t xml:space="preserve">38405093864</t>
  </si>
  <si>
    <t xml:space="preserve">38405200842</t>
  </si>
  <si>
    <t xml:space="preserve">38404619147</t>
  </si>
  <si>
    <t xml:space="preserve">38405103514</t>
  </si>
  <si>
    <t xml:space="preserve">38405210047</t>
  </si>
  <si>
    <t xml:space="preserve">38409744211</t>
  </si>
  <si>
    <t xml:space="preserve">38409804722</t>
  </si>
  <si>
    <t xml:space="preserve">38409830032</t>
  </si>
  <si>
    <t xml:space="preserve">38409748586</t>
  </si>
  <si>
    <t xml:space="preserve">38409813127</t>
  </si>
  <si>
    <t xml:space="preserve">38409838825</t>
  </si>
  <si>
    <t xml:space="preserve">38409752049</t>
  </si>
  <si>
    <t xml:space="preserve">38409821867</t>
  </si>
  <si>
    <t xml:space="preserve">38409847744</t>
  </si>
  <si>
    <t xml:space="preserve">Every CONFIRMED AI finding in the independent condition (46 runs, TC01–TC15) with a manual label against ground truth</t>
  </si>
  <si>
    <t xml:space="preserve">Source: ai_output.json in each run artefact (TC01–TC12 downloaded by AB on 13 Oct; TC13–TC15 downloaded by AB on 13 Oct, 15:50). Rows with '-' record runs that produced no confirmed finding. Labels (blue) are the researcher-assistant's judgement; see legend.</t>
  </si>
  <si>
    <t xml:space="preserve">Legend: TARGET = the ground-truth condition; EXTRA-VALID = true issue outside the target; DUPLICATE = restates another confirmed finding in the same run; FALSE = not a real issue against ground truth or provider behaviour; NONE = no confirmed finding in the run.</t>
  </si>
  <si>
    <t xml:space="preserve">Finding</t>
  </si>
  <si>
    <t xml:space="preserve">Severity</t>
  </si>
  <si>
    <t xml:space="preserve">Title</t>
  </si>
  <si>
    <t xml:space="preserve">Label</t>
  </si>
  <si>
    <t xml:space="preserve">Justification</t>
  </si>
  <si>
    <t xml:space="preserve">-</t>
  </si>
  <si>
    <t xml:space="preserve">(no confirmed findings)</t>
  </si>
  <si>
    <t xml:space="preserve">NONE</t>
  </si>
  <si>
    <t xml:space="preserve">no confirmed findings</t>
  </si>
  <si>
    <t xml:space="preserve">ai_output.json</t>
  </si>
  <si>
    <t xml:space="preserve">F-001</t>
  </si>
  <si>
    <t xml:space="preserve">HIGH</t>
  </si>
  <si>
    <t xml:space="preserve">Unrestricted inbound SSH access permitted from any source address</t>
  </si>
  <si>
    <t xml:space="preserve">Ground-truth condition for this case.</t>
  </si>
  <si>
    <t xml:space="preserve">Inbound SSH (port 22) permitted from any source address (0.0.0.0/0)</t>
  </si>
  <si>
    <t xml:space="preserve">NSG permits inbound SSH (TCP/22) from any source (0.0.0.0/0)</t>
  </si>
  <si>
    <t xml:space="preserve">RDP (TCP/3389) publicly accessible from any source address</t>
  </si>
  <si>
    <t xml:space="preserve">Unrestricted inbound RDP (port 3389) permitted from 0.0.0.0/0</t>
  </si>
  <si>
    <t xml:space="preserve">Unrestricted inbound RDP access from any source (0.0.0.0/0) on port 3389</t>
  </si>
  <si>
    <t xml:space="preserve">F-002</t>
  </si>
  <si>
    <t xml:space="preserve">SEC-001 violation: public RDP exposure without documented policy justification</t>
  </si>
  <si>
    <t xml:space="preserve">Restates F-001 (public RDP) as a SEC-001 policy finding.</t>
  </si>
  <si>
    <t xml:space="preserve">Unrestricted inbound HTTP (TCP/80) permitted from any source via NSG rule</t>
  </si>
  <si>
    <t xml:space="preserve">NSG allows unrestricted inbound HTTP (TCP/80) from any IPv4 address</t>
  </si>
  <si>
    <t xml:space="preserve">NSG rule permits unrestricted inbound HTTP (TCP/80) from any IPv4 source</t>
  </si>
  <si>
    <t xml:space="preserve">Subnet has no NSG association (NET-001 violation)</t>
  </si>
  <si>
    <t xml:space="preserve">Subnet 'subnet-demo' has no NSG association (NET-001 violation)</t>
  </si>
  <si>
    <t xml:space="preserve">MEDIUM</t>
  </si>
  <si>
    <t xml:space="preserve">Virtual Network uses a public DNS server in violation of NET-002</t>
  </si>
  <si>
    <t xml:space="preserve">VNet configured with public DNS resolver in violation of NET-002</t>
  </si>
  <si>
    <t xml:space="preserve">VNet configured with public DNS server in violation of NET-002</t>
  </si>
  <si>
    <t xml:space="preserve">Storage account permits insecure TLS 1.0 and TLS 1.1 connections</t>
  </si>
  <si>
    <t xml:space="preserve">LOW</t>
  </si>
  <si>
    <t xml:space="preserve">Storage account missing mandatory tags: owner, cost-center, research_case</t>
  </si>
  <si>
    <t xml:space="preserve">Storage account tags lack owner and cost-center (TAG-001); verified in storage.tf.</t>
  </si>
  <si>
    <t xml:space="preserve">Storage account allows deprecated TLS 1.0 connections</t>
  </si>
  <si>
    <t xml:space="preserve">Storage account missing mandatory tags: owner and cost-center</t>
  </si>
  <si>
    <t xml:space="preserve">As run 1.</t>
  </si>
  <si>
    <t xml:space="preserve">Storage account permits deprecated TLS 1.0 connections</t>
  </si>
  <si>
    <t xml:space="preserve">(no ai_output.json: run failed validation)</t>
  </si>
  <si>
    <t xml:space="preserve">no ai_output.json: run failed validation</t>
  </si>
  <si>
    <t xml:space="preserve">artifact</t>
  </si>
  <si>
    <t xml:space="preserve">No diagnostic setting configured to forward NSG logs to Log Analytics</t>
  </si>
  <si>
    <t xml:space="preserve">Hardcoded secret value embedded in Terraform local in source-controlled file</t>
  </si>
  <si>
    <t xml:space="preserve">Hardcoded credential-shaped string stored as a plaintext Terraform local in source control</t>
  </si>
  <si>
    <t xml:space="preserve">Hardcoded secret-like string embedded in Terraform local value</t>
  </si>
  <si>
    <t xml:space="preserve">Custom role definition grants unrestricted wildcard ('*') permissions at subscription scope</t>
  </si>
  <si>
    <t xml:space="preserve">Custom role definition is missing mandatory tags required by TAG-001</t>
  </si>
  <si>
    <t xml:space="preserve">azurerm_role_definition has no tags argument; applying the fix fails terraform validate (PR #94).</t>
  </si>
  <si>
    <t xml:space="preserve">Custom role definition grants wildcard (*) permissions at subscription scope</t>
  </si>
  <si>
    <t xml:space="preserve">Subscription-scoped wildcard role definition grants unrestricted ARM permissions</t>
  </si>
  <si>
    <t xml:space="preserve">Custom role definition missing mandatory tags required by TAG-001</t>
  </si>
  <si>
    <t xml:space="preserve">Custom RBAC role grants wildcard (*) permissions at subscription scope, violating least privilege</t>
  </si>
  <si>
    <t xml:space="preserve">Custom role grants wildcard subscription-scope permissions far exceeding documented task requirements</t>
  </si>
  <si>
    <t xml:space="preserve">Custom role definition grants wildcard subscription-scope permissions far exceeding documented task requirements</t>
  </si>
  <si>
    <t xml:space="preserve">NSG rule permits unrestricted public inbound HTTPS to the entire subnet</t>
  </si>
  <si>
    <t xml:space="preserve">Public TCP/443 is intended (ground truth TC12); destination-scope concern is not the stated defect.</t>
  </si>
  <si>
    <t xml:space="preserve">SEC-001: Public exposure broader than documented justification</t>
  </si>
  <si>
    <t xml:space="preserve">Same intended exposure restated against SEC-001.</t>
  </si>
  <si>
    <t xml:space="preserve">F-003</t>
  </si>
  <si>
    <t xml:space="preserve">TAG-001: azurerm_network_security_rule.tc12_public_https missing mandatory tags</t>
  </si>
  <si>
    <t xml:space="preserve">azurerm_network_security_rule is not taggable (AI run 3 states this correctly).</t>
  </si>
  <si>
    <t xml:space="preserve">NSG security rule tc12_public_https is missing mandatory tags (TAG-001)</t>
  </si>
  <si>
    <t xml:space="preserve">As TC12 run 1 F-003.</t>
  </si>
  <si>
    <t xml:space="preserve">Reporting identity assigned Contributor at subscription scope instead of Reader at resource group scope</t>
  </si>
  <si>
    <t xml:space="preserve">Managed identity granted Contributor at subscription scope instead of Reader at resource group scope</t>
  </si>
  <si>
    <t xml:space="preserve">Managed identity granted Contributor at subscription scope; requirements specify Reader at resource-group scope</t>
  </si>
  <si>
    <t xml:space="preserve">SSH allow rule uses wildcard destination, permitting access to any subnet host</t>
  </si>
  <si>
    <t xml:space="preserve">Ground truth TC14-GT-01: correct outcome is no confirmed finding; wildcard destination is a hardening suggestion, confirmed at LOW.</t>
  </si>
  <si>
    <t xml:space="preserve">Hardcoded plaintext administrator password in Terraform variable default</t>
  </si>
  <si>
    <t xml:space="preserve">Hardcoded plaintext password in Terraform variable default</t>
  </si>
  <si>
    <t xml:space="preserve">Hardcoded plaintext database password committed as a Terraform variable default</t>
  </si>
  <si>
    <t xml:space="preserve">Checkov passed</t>
  </si>
  <si>
    <t xml:space="preserve">Checkov failed</t>
  </si>
  <si>
    <t xml:space="preserve">Checkov failed check IDs</t>
  </si>
  <si>
    <t xml:space="preserve">tfsec findings (rule · severity · resource)</t>
  </si>
  <si>
    <t xml:space="preserve">Identical across independent runs</t>
  </si>
  <si>
    <t xml:space="preserve">Matches local reproduction</t>
  </si>
  <si>
    <t xml:space="preserve">Matches earlier Condition C PR comment</t>
  </si>
  <si>
    <t xml:space="preserve">Yes (3/3; TC08 4/4)</t>
  </si>
  <si>
    <t xml:space="preserve">Yes</t>
  </si>
  <si>
    <t xml:space="preserve">AVD-AZU-0047 · CRITICAL · azurerm_network_security_group.nsg
AVD-AZU-0050 · CRITICAL · azurerm_network_security_group.nsg</t>
  </si>
  <si>
    <t xml:space="preserve">AVD-AZU-0048 · CRITICAL · azurerm_network_security_group.nsg
AVD-AZU-0047 · CRITICAL · azurerm_network_security_group.nsg</t>
  </si>
  <si>
    <t xml:space="preserve">AVD-AZU-0047 · CRITICAL · azurerm_network_security_group.nsg</t>
  </si>
  <si>
    <t xml:space="preserve">CKV2_AZURE_31</t>
  </si>
  <si>
    <t xml:space="preserve">CKV_AZURE_183, CKV_AZURE_182</t>
  </si>
  <si>
    <t xml:space="preserve">CKV_AZURE_59, CKV_AZURE_206, CKV_AZURE_190, CKV_AZURE_33, CKV_AZURE_44, CKV2_AZURE_47, CKV2_AZURE_38, CKV2_AZURE_40, CKV2_AZURE_33, CKV2_AZURE_41, CKV2_AZURE_1</t>
  </si>
  <si>
    <t xml:space="preserve">AVD-AZU-0011 · CRITICAL · azurerm_storage_account.tc07_storage</t>
  </si>
  <si>
    <t xml:space="preserve">CKV_AZURE_39</t>
  </si>
  <si>
    <t xml:space="preserve">AVD-AZU-0047 · CRITICAL · azurerm_network_security_rule.tc12_public_https</t>
  </si>
  <si>
    <t xml:space="preserve">Local reproduction: Checkov 3.3.1 (--framework terraform --output json) and tfsec v1.28.14 (--format json) on each indep-tc branch, 13 Oct 2026. Checkov OSS JSON reports no severity. Probe: changing TC02 source '0.0.0.0/0' to '*' makes CKV_AZURE_10 fail.</t>
  </si>
  <si>
    <t xml:space="preserve">Head commit</t>
  </si>
  <si>
    <t xml:space="preserve">Run attempts</t>
  </si>
  <si>
    <t xml:space="preserve">AI result (PR comment)</t>
  </si>
  <si>
    <t xml:space="preserve">Scanner IDs cited by AI</t>
  </si>
  <si>
    <t xml:space="preserve">Notes</t>
  </si>
  <si>
    <t xml:space="preserve">#46</t>
  </si>
  <si>
    <t xml:space="preserve">0003ccf</t>
  </si>
  <si>
    <t xml:space="preserve">37804553671</t>
  </si>
  <si>
    <t xml:space="preserve">55/100 DO_NOT_MERGE: MEDIUM TAG-001, MEDIUM LOG-001 confirmed; context note on missing explicit NSG rules</t>
  </si>
  <si>
    <t xml:space="preserve">none (no scanner context in code at that time)</t>
  </si>
  <si>
    <t xml:space="preserve">Older fixture (no tags/logging); later baseline changed</t>
  </si>
  <si>
    <t xml:space="preserve">#55</t>
  </si>
  <si>
    <t xml:space="preserve">aea09b1</t>
  </si>
  <si>
    <t xml:space="preserve">37941043133</t>
  </si>
  <si>
    <t xml:space="preserve">Screenshot shows 100/100 clean, but PR changed only PROM06-TC-01.md so AI should have been skipped; comment posted 11 min before scanner comments</t>
  </si>
  <si>
    <t xml:space="preserve">Not traceable to its own run — UNVERIFIED</t>
  </si>
  <si>
    <t xml:space="preserve">#56</t>
  </si>
  <si>
    <t xml:space="preserve">1112b8b</t>
  </si>
  <si>
    <t xml:space="preserve">37949921520</t>
  </si>
  <si>
    <t xml:space="preserve">70/100: CRITICAL SSH</t>
  </si>
  <si>
    <t xml:space="preserve">AVD-AZU-0047, AVD-AZU-0050</t>
  </si>
  <si>
    <t xml:space="preserve">#57</t>
  </si>
  <si>
    <t xml:space="preserve">4d213c6</t>
  </si>
  <si>
    <t xml:space="preserve">38240217182</t>
  </si>
  <si>
    <t xml:space="preserve">70/100: CRITICAL RDP</t>
  </si>
  <si>
    <t xml:space="preserve">AVD-AZU-0048, AVD-AZU-0047</t>
  </si>
  <si>
    <t xml:space="preserve">#58</t>
  </si>
  <si>
    <t xml:space="preserve">4d2f880</t>
  </si>
  <si>
    <t xml:space="preserve">38241873851</t>
  </si>
  <si>
    <t xml:space="preserve">70/100: HIGH HTTP</t>
  </si>
  <si>
    <t xml:space="preserve">AVD-AZU-0047</t>
  </si>
  <si>
    <t xml:space="preserve">PR closed unmerged</t>
  </si>
  <si>
    <t xml:space="preserve">#59</t>
  </si>
  <si>
    <t xml:space="preserve">dad9df3</t>
  </si>
  <si>
    <t xml:space="preserve">38243286069</t>
  </si>
  <si>
    <t xml:space="preserve">85/100: MEDIUM NET-001</t>
  </si>
  <si>
    <t xml:space="preserve">#61</t>
  </si>
  <si>
    <t xml:space="preserve">1ea2c15</t>
  </si>
  <si>
    <t xml:space="preserve">38245294170</t>
  </si>
  <si>
    <t xml:space="preserve">85/100: MEDIUM NET-002</t>
  </si>
  <si>
    <t xml:space="preserve">#60 was an earlier TC06 variant</t>
  </si>
  <si>
    <t xml:space="preserve">#63</t>
  </si>
  <si>
    <t xml:space="preserve">de8549e</t>
  </si>
  <si>
    <t xml:space="preserve">38281784140</t>
  </si>
  <si>
    <t xml:space="preserve">25/100: CRITICAL TLS, MEDIUM TAG-001, HIGH public network</t>
  </si>
  <si>
    <t xml:space="preserve">AVD-AZU-0011, CKV_AZURE_44, CKV_AZURE_59, CKV2_AZURE_47/33/40</t>
  </si>
  <si>
    <t xml:space="preserve">#62 web-app variant not used</t>
  </si>
  <si>
    <t xml:space="preserve">#64</t>
  </si>
  <si>
    <t xml:space="preserve">7cb9014</t>
  </si>
  <si>
    <t xml:space="preserve">38283490262</t>
  </si>
  <si>
    <t xml:space="preserve">85/100: MEDIUM LOG-001</t>
  </si>
  <si>
    <t xml:space="preserve">none (scanners clean)</t>
  </si>
  <si>
    <t xml:space="preserve">#65</t>
  </si>
  <si>
    <t xml:space="preserve">eca6e99</t>
  </si>
  <si>
    <t xml:space="preserve">38285110293</t>
  </si>
  <si>
    <t xml:space="preserve">85/100: MEDIUM hard-coded secret</t>
  </si>
  <si>
    <t xml:space="preserve">3 attempts; claimed value would be stored in state</t>
  </si>
  <si>
    <t xml:space="preserve">#66</t>
  </si>
  <si>
    <t xml:space="preserve">dd05ba4</t>
  </si>
  <si>
    <t xml:space="preserve">38287543507</t>
  </si>
  <si>
    <t xml:space="preserve">Attempt 1: 40/100, 2 × CRITICAL; attempt 2 (13 Oct): 70/100, 1 × HIGH</t>
  </si>
  <si>
    <t xml:space="preserve">Explains matrix severity conflict</t>
  </si>
  <si>
    <t xml:space="preserve">#67</t>
  </si>
  <si>
    <t xml:space="preserve">960dac3</t>
  </si>
  <si>
    <t xml:space="preserve">38288761497</t>
  </si>
  <si>
    <t xml:space="preserve">Both attempts 70/100: 1 × HIGH</t>
  </si>
  <si>
    <t xml:space="preserve">CKV_AZURE_39 (listed as a 'policy mapping' in attempt 2)</t>
  </si>
  <si>
    <t xml:space="preserve">Confluence heading 'AI-only (B)' incorrect</t>
  </si>
  <si>
    <t xml:space="preserve">#68</t>
  </si>
  <si>
    <t xml:space="preserve">709316c</t>
  </si>
  <si>
    <t xml:space="preserve">38289955785</t>
  </si>
  <si>
    <t xml:space="preserve">85/100: MEDIUM SEC-001 scope concern</t>
  </si>
  <si>
    <t xml:space="preserve">Runs on 9–12 Oct used workflow default Condition C with build_scanner_context() (added 9 Oct 12:47, commit 732083d), so the AI prompt contained normalised scanner findings. Run IDs/attempts from GitHub Actions API.</t>
  </si>
  <si>
    <t xml:space="preserve">Pipeline timing per independent run (GitHub Actions jobs API, step timestamps at 1-second resolution)</t>
  </si>
  <si>
    <t xml:space="preserve">All three tools run sequentially in one job and all PR comments are posted together at the end, so time-to-feedback is the same for every tool; tool cost is shown as step duration. AI duration includes the Anthropic API call. PR→comments is only meaningful for pull_request-event runs.</t>
  </si>
  <si>
    <t xml:space="preserve">Branch</t>
  </si>
  <si>
    <t xml:space="preserve">Job start (UTC)</t>
  </si>
  <si>
    <t xml:space="preserve">Job (s)</t>
  </si>
  <si>
    <t xml:space="preserve">Install Checkov (s)</t>
  </si>
  <si>
    <t xml:space="preserve">Run Checkov (s)</t>
  </si>
  <si>
    <t xml:space="preserve">Run tfsec (s)</t>
  </si>
  <si>
    <t xml:space="preserve">AI review (s)</t>
  </si>
  <si>
    <t xml:space="preserve">AI step result</t>
  </si>
  <si>
    <t xml:space="preserve">PR created (UTC)</t>
  </si>
  <si>
    <t xml:space="preserve">PR → comments posted (s)</t>
  </si>
  <si>
    <t xml:space="preserve">indep-tc01</t>
  </si>
  <si>
    <t xml:space="preserve">2026-10-13 13:23:42</t>
  </si>
  <si>
    <t xml:space="preserve">success</t>
  </si>
  <si>
    <t xml:space="preserve">2026-10-13 13:23:34</t>
  </si>
  <si>
    <t xml:space="preserve">2026-10-13 13:26:50</t>
  </si>
  <si>
    <t xml:space="preserve">n/a</t>
  </si>
  <si>
    <t xml:space="preserve">2026-10-13 13:27:37</t>
  </si>
  <si>
    <t xml:space="preserve">indep-tc02</t>
  </si>
  <si>
    <t xml:space="preserve">2026-10-13 13:23:35</t>
  </si>
  <si>
    <t xml:space="preserve">2026-10-13 13:26:54</t>
  </si>
  <si>
    <t xml:space="preserve">2026-10-13 13:27:42</t>
  </si>
  <si>
    <t xml:space="preserve">indep-tc03</t>
  </si>
  <si>
    <t xml:space="preserve">2026-10-13 13:23:44</t>
  </si>
  <si>
    <t xml:space="preserve">2026-10-13 13:23:37</t>
  </si>
  <si>
    <t xml:space="preserve">2026-10-13 13:26:57</t>
  </si>
  <si>
    <t xml:space="preserve">indep-tc04</t>
  </si>
  <si>
    <t xml:space="preserve">2026-10-13 13:23:38</t>
  </si>
  <si>
    <t xml:space="preserve">2026-10-13 13:27:02</t>
  </si>
  <si>
    <t xml:space="preserve">2026-10-13 13:27:49</t>
  </si>
  <si>
    <t xml:space="preserve">indep-tc05</t>
  </si>
  <si>
    <t xml:space="preserve">2026-10-13 13:23:40</t>
  </si>
  <si>
    <t xml:space="preserve">2026-10-13 13:27:54</t>
  </si>
  <si>
    <t xml:space="preserve">indep-tc06</t>
  </si>
  <si>
    <t xml:space="preserve">2026-10-13 13:23:41</t>
  </si>
  <si>
    <t xml:space="preserve">2026-10-13 13:27:11</t>
  </si>
  <si>
    <t xml:space="preserve">indep-tc07</t>
  </si>
  <si>
    <t xml:space="preserve">2026-10-13 13:23:49</t>
  </si>
  <si>
    <t xml:space="preserve">2026-10-13 13:28:01</t>
  </si>
  <si>
    <t xml:space="preserve">indep-tc08</t>
  </si>
  <si>
    <t xml:space="preserve">failure</t>
  </si>
  <si>
    <t xml:space="preserve">2026-10-13 13:27:19</t>
  </si>
  <si>
    <t xml:space="preserve">2026-10-13 13:28:35</t>
  </si>
  <si>
    <t xml:space="preserve">indep-tc09</t>
  </si>
  <si>
    <t xml:space="preserve">2026-10-13 13:23:45</t>
  </si>
  <si>
    <t xml:space="preserve">2026-10-13 13:28:09</t>
  </si>
  <si>
    <t xml:space="preserve">indep-tc10</t>
  </si>
  <si>
    <t xml:space="preserve">2026-10-13 13:27:26</t>
  </si>
  <si>
    <t xml:space="preserve">2026-10-13 13:28:13</t>
  </si>
  <si>
    <t xml:space="preserve">indep-tc11</t>
  </si>
  <si>
    <t xml:space="preserve">2026-10-13 13:27:30</t>
  </si>
  <si>
    <t xml:space="preserve">2026-10-13 13:28:18</t>
  </si>
  <si>
    <t xml:space="preserve">indep-tc12</t>
  </si>
  <si>
    <t xml:space="preserve">2026-10-13 13:27:34</t>
  </si>
  <si>
    <t xml:space="preserve">2026-10-13 13:28:20</t>
  </si>
  <si>
    <t xml:space="preserve">indep-tc13</t>
  </si>
  <si>
    <t xml:space="preserve">2026-10-13 14:00:59</t>
  </si>
  <si>
    <t xml:space="preserve">2026-10-13 14:00:50</t>
  </si>
  <si>
    <t xml:space="preserve">2026-10-13 14:01:26</t>
  </si>
  <si>
    <t xml:space="preserve">2026-10-13 14:01:36</t>
  </si>
  <si>
    <t xml:space="preserve">indep-tc14</t>
  </si>
  <si>
    <t xml:space="preserve">2026-10-13 14:01:01</t>
  </si>
  <si>
    <t xml:space="preserve">2026-10-13 14:00:52</t>
  </si>
  <si>
    <t xml:space="preserve">2026-10-13 14:01:29</t>
  </si>
  <si>
    <t xml:space="preserve">2026-10-13 14:01:39</t>
  </si>
  <si>
    <t xml:space="preserve">indep-tc15</t>
  </si>
  <si>
    <t xml:space="preserve">2026-10-13 14:01:04</t>
  </si>
  <si>
    <t xml:space="preserve">2026-10-13 14:00:53</t>
  </si>
  <si>
    <t xml:space="preserve">2026-10-13 14:01:32</t>
  </si>
  <si>
    <t xml:space="preserve">2026-10-13 14:01:43</t>
  </si>
  <si>
    <t xml:space="preserve">Summary (formulas)</t>
  </si>
  <si>
    <t xml:space="preserve">Statistic</t>
  </si>
  <si>
    <t xml:space="preserve">PR → comments (s)</t>
  </si>
  <si>
    <t xml:space="preserve">Median</t>
  </si>
  <si>
    <t xml:space="preserve">Minimum</t>
  </si>
  <si>
    <t xml:space="preserve">Maximum</t>
  </si>
  <si>
    <t xml:space="preserve">Mean</t>
  </si>
  <si>
    <t xml:space="preserve">Runs</t>
  </si>
  <si>
    <t xml:space="preserve">AI step share of job time (median AI ÷ median job)</t>
  </si>
  <si>
    <t xml:space="preserve">Remediation validation (DCR) — does applying the AI's own recommendation produce the ground-truth secure state?</t>
  </si>
  <si>
    <t xml:space="preserve">Method (13 Oct 2026): for each case where the AI confirmed the target, the recommendation from the first run that confirmed it was applied to the unchanged fixture branch on a new rem-tc branch, with no other edits. Each branch was opened as a PR (not merged, not applied) so the INDEPENDENT workflow ran terraform fmt/validate, Checkov 3.3.1, tfsec 1.28.14 and a fresh AI review once. Where the AI gave a placeholder source range, the RFC 5737 documentation address 203.0.113.10/32 was used (no real addresses). Fixes were implemented by the research assistant (Claude); interpretation choices are recorded. Variant 'b' rows change only the now-stale fixture comment, to isolate its effect on the AI re-review. One AI run per branch: no variability estimate.</t>
  </si>
  <si>
    <t xml:space="preserve">Variant</t>
  </si>
  <si>
    <t xml:space="preserve">AI recommendation source</t>
  </si>
  <si>
    <t xml:space="preserve">Fix applied</t>
  </si>
  <si>
    <t xml:space="preserve">Interpretation / note</t>
  </si>
  <si>
    <t xml:space="preserve">fmt + validate</t>
  </si>
  <si>
    <t xml:space="preserve">Checkov target check (before → after)</t>
  </si>
  <si>
    <t xml:space="preserve">tfsec (before → after)</t>
  </si>
  <si>
    <t xml:space="preserve">AI re-review (independent, 1 run)</t>
  </si>
  <si>
    <t xml:space="preserve">Target resolved vs ground truth?</t>
  </si>
  <si>
    <t xml:space="preserve">Scanner confirms fix?</t>
  </si>
  <si>
    <t xml:space="preserve">AI accepts fix?</t>
  </si>
  <si>
    <t xml:space="preserve">a</t>
  </si>
  <si>
    <t xml:space="preserve">Run 38404584887 F-001</t>
  </si>
  <si>
    <t xml:space="preserve">source_address_prefix 0.0.0.0/0 → 203.0.113.10/32</t>
  </si>
  <si>
    <t xml:space="preserve">AI example: 'jump-host IP'; documentation address used. Fixture comment still says 'Deliberately unrestricted SSH'.</t>
  </si>
  <si>
    <t xml:space="preserve">rem-tc02</t>
  </si>
  <si>
    <t xml:space="preserve">386c2ac</t>
  </si>
  <si>
    <t xml:space="preserve">38412911309</t>
  </si>
  <si>
    <t xml:space="preserve">Pass</t>
  </si>
  <si>
    <t xml:space="preserve">CKV_AZURE_10 passed before and after (blind to 0.0.0.0/0)</t>
  </si>
  <si>
    <t xml:space="preserve">AVD-AZU-0047 + 0050 → 0</t>
  </si>
  <si>
    <t xml:space="preserve">70 APPROVE_WITH_COMMENTS — HIGH: source is an RFC 5737 TEST-NET address; cites the stale comment</t>
  </si>
  <si>
    <t xml:space="preserve">Yes (tfsec)</t>
  </si>
  <si>
    <t xml:space="preserve">No</t>
  </si>
  <si>
    <t xml:space="preserve">b</t>
  </si>
  <si>
    <t xml:space="preserve">As variant a</t>
  </si>
  <si>
    <t xml:space="preserve">As a + comment updated to describe the restricted rule</t>
  </si>
  <si>
    <t xml:space="preserve">Isolates stale-comment effect.</t>
  </si>
  <si>
    <t xml:space="preserve">rem-tc02b</t>
  </si>
  <si>
    <t xml:space="preserve">fd061b8</t>
  </si>
  <si>
    <t xml:space="preserve">38413482687</t>
  </si>
  <si>
    <t xml:space="preserve">Passed (7/0)</t>
  </si>
  <si>
    <t xml:space="preserve">0 → 0</t>
  </si>
  <si>
    <t xml:space="preserve">95 APPROVE — LOW: wildcard destination (same note as TC14 run 1)</t>
  </si>
  <si>
    <t xml:space="preserve">Run 38404589228 F-001</t>
  </si>
  <si>
    <t xml:space="preserve">AI: 'controlled IP range … or Azure Bastion'; first option applied. Stale comment retained.</t>
  </si>
  <si>
    <t xml:space="preserve">rem-tc03</t>
  </si>
  <si>
    <t xml:space="preserve">08e5734</t>
  </si>
  <si>
    <t xml:space="preserve">38412915964</t>
  </si>
  <si>
    <t xml:space="preserve">CKV_AZURE_9 passed before and after (blind)</t>
  </si>
  <si>
    <t xml:space="preserve">AVD-AZU-0048 + 0047 → 0</t>
  </si>
  <si>
    <t xml:space="preserve">70 APPROVE_WITH_COMMENTS — HIGH: RDP from external source address; quotes 'Deliberately unrestricted RDP' comment</t>
  </si>
  <si>
    <t xml:space="preserve">As a + comment updated</t>
  </si>
  <si>
    <t xml:space="preserve">rem-tc03b</t>
  </si>
  <si>
    <t xml:space="preserve">ed0ab21</t>
  </si>
  <si>
    <t xml:space="preserve">38413403063</t>
  </si>
  <si>
    <t xml:space="preserve">100 APPROVE — no confirmed findings</t>
  </si>
  <si>
    <t xml:space="preserve">Run 38404592498 F-001</t>
  </si>
  <si>
    <t xml:space="preserve">AI: restrict to test-harness range. No HTTPS alternative was recommended. Stale comment retained.</t>
  </si>
  <si>
    <t xml:space="preserve">rem-tc04</t>
  </si>
  <si>
    <t xml:space="preserve">8d02bac</t>
  </si>
  <si>
    <t xml:space="preserve">38412921766</t>
  </si>
  <si>
    <t xml:space="preserve">CKV_AZURE_160 passed before and after (blind)</t>
  </si>
  <si>
    <t xml:space="preserve">AVD-AZU-0047 → 0</t>
  </si>
  <si>
    <t xml:space="preserve">95 APPROVE — LOW: comment contradicts the configured source prefix</t>
  </si>
  <si>
    <t xml:space="preserve">rem-tc04b</t>
  </si>
  <si>
    <t xml:space="preserve">6e7a619</t>
  </si>
  <si>
    <t xml:space="preserve">38413413620</t>
  </si>
  <si>
    <t xml:space="preserve">85 APPROVE — MEDIUM: HTTP is cleartext, use HTTPS (an issue the AI did not raise when reviewing the original fixture)</t>
  </si>
  <si>
    <t xml:space="preserve">Run 38404594354 F-001</t>
  </si>
  <si>
    <t xml:space="preserve">Add azurerm_subnet_network_security_group_association</t>
  </si>
  <si>
    <t xml:space="preserve">Applied as given.</t>
  </si>
  <si>
    <t xml:space="preserve">rem-tc05</t>
  </si>
  <si>
    <t xml:space="preserve">952f4dc</t>
  </si>
  <si>
    <t xml:space="preserve">38412929801</t>
  </si>
  <si>
    <t xml:space="preserve">CKV2_AZURE_31 failed → passed</t>
  </si>
  <si>
    <t xml:space="preserve">Yes (Checkov)</t>
  </si>
  <si>
    <t xml:space="preserve">Run 38404596950 F-001</t>
  </si>
  <si>
    <t xml:space="preserve">Remove dns_servers (Azure-provided DNS)</t>
  </si>
  <si>
    <t xml:space="preserve">First of two AI options (other: 168.63.129.16).</t>
  </si>
  <si>
    <t xml:space="preserve">rem-tc06</t>
  </si>
  <si>
    <t xml:space="preserve">fb59f8a</t>
  </si>
  <si>
    <t xml:space="preserve">38412933192</t>
  </si>
  <si>
    <t xml:space="preserve">CKV_AZURE_183 + 182 failed → passed</t>
  </si>
  <si>
    <t xml:space="preserve">Run 38404600206 F-001</t>
  </si>
  <si>
    <t xml:space="preserve">min_tls_version TLS1_0 → TLS1_2</t>
  </si>
  <si>
    <t xml:space="preserve">Target finding only; other AI recommendations not applied.</t>
  </si>
  <si>
    <t xml:space="preserve">rem-tc07</t>
  </si>
  <si>
    <t xml:space="preserve">6d60bce</t>
  </si>
  <si>
    <t xml:space="preserve">38412938552</t>
  </si>
  <si>
    <t xml:space="preserve">CKV_AZURE_44 failed → passed (10 unrelated storage checks still fail)</t>
  </si>
  <si>
    <t xml:space="preserve">AVD-AZU-0011 → 0</t>
  </si>
  <si>
    <t xml:space="preserve">40 DO_NOT_MERGE — TLS no longer raised; 3 other confirmed: tags (true), public network access HIGH (was NEEDS_CONTEXT), no diagnostic setting</t>
  </si>
  <si>
    <t xml:space="preserve">Yes (both)</t>
  </si>
  <si>
    <t xml:space="preserve">Target yes; gate blocks</t>
  </si>
  <si>
    <t xml:space="preserve">Run 38405218950 F-001</t>
  </si>
  <si>
    <t xml:space="preserve">Add azurerm_monitor_diagnostic_setting for the NSG with both categories</t>
  </si>
  <si>
    <t xml:space="preserve">Only run that confirmed the target; code example applied as given.</t>
  </si>
  <si>
    <t xml:space="preserve">rem-tc08</t>
  </si>
  <si>
    <t xml:space="preserve">324f05c</t>
  </si>
  <si>
    <t xml:space="preserve">38412942226</t>
  </si>
  <si>
    <t xml:space="preserve">7/0 before and after (blind)</t>
  </si>
  <si>
    <t xml:space="preserve">n/a (blind)</t>
  </si>
  <si>
    <t xml:space="preserve">Run 38404607277 F-001</t>
  </si>
  <si>
    <t xml:space="preserve">Remove the locals block containing the dummy secret</t>
  </si>
  <si>
    <t xml:space="preserve">AI option 'remove the locals block'. Value remains in git history (not recommended for purge in this run).</t>
  </si>
  <si>
    <t xml:space="preserve">rem-tc09</t>
  </si>
  <si>
    <t xml:space="preserve">a3323f5</t>
  </si>
  <si>
    <t xml:space="preserve">38412949170</t>
  </si>
  <si>
    <t xml:space="preserve">7/0 before and after (blind; secrets framework not run)</t>
  </si>
  <si>
    <t xml:space="preserve">Yes (code); history not addressed</t>
  </si>
  <si>
    <t xml:space="preserve">Run 38404612132 F-001</t>
  </si>
  <si>
    <t xml:space="preserve">Delete the role definition</t>
  </si>
  <si>
    <t xml:space="preserve">First AI option. Second option ('minimum set of actions') could not be applied: the AI did not specify the actions.</t>
  </si>
  <si>
    <t xml:space="preserve">rem-tc10</t>
  </si>
  <si>
    <t xml:space="preserve">46226ce</t>
  </si>
  <si>
    <t xml:space="preserve">38412950863</t>
  </si>
  <si>
    <t xml:space="preserve">CKV_AZURE_39 failed → passed</t>
  </si>
  <si>
    <t xml:space="preserve">Not invoked: PR has no .tf diff against main after deletion</t>
  </si>
  <si>
    <t xml:space="preserve">tags</t>
  </si>
  <si>
    <t xml:space="preserve">Run 38404612132 F-002 (FALSE finding)</t>
  </si>
  <si>
    <t xml:space="preserve">Add tags = local.common_tags to azurerm_role_definition</t>
  </si>
  <si>
    <t xml:space="preserve">Applied verbatim to test the false tag finding.</t>
  </si>
  <si>
    <t xml:space="preserve">rem-tc10tags</t>
  </si>
  <si>
    <t xml:space="preserve">7c47e50</t>
  </si>
  <si>
    <t xml:space="preserve">38412955313</t>
  </si>
  <si>
    <t xml:space="preserve">FAIL — Unsupported argument: "tags" not expected on azurerm_role_definition (later steps skipped)</t>
  </si>
  <si>
    <t xml:space="preserve">Skipped</t>
  </si>
  <si>
    <t xml:space="preserve">n/a — fix is invalid Terraform</t>
  </si>
  <si>
    <t xml:space="preserve">Run 38404613836 F-001</t>
  </si>
  <si>
    <t xml:space="preserve">actions → the two documented read actions; assignable_scopes → resource group</t>
  </si>
  <si>
    <t xml:space="preserve">Matches tc11_required_actions exactly.</t>
  </si>
  <si>
    <t xml:space="preserve">rem-tc11</t>
  </si>
  <si>
    <t xml:space="preserve">2e55a55</t>
  </si>
  <si>
    <t xml:space="preserve">38412957421</t>
  </si>
  <si>
    <t xml:space="preserve">CKV_AZURE_39 failed → passed (8/0)</t>
  </si>
  <si>
    <t xml:space="preserve">Run 38409744211 F-001</t>
  </si>
  <si>
    <t xml:space="preserve">role Contributor → Reader; scope subscription → resource group</t>
  </si>
  <si>
    <t xml:space="preserve">rem-tc13</t>
  </si>
  <si>
    <t xml:space="preserve">3748898</t>
  </si>
  <si>
    <t xml:space="preserve">38412963217</t>
  </si>
  <si>
    <t xml:space="preserve">Run 38409752049 F-001</t>
  </si>
  <si>
    <t xml:space="preserve">Remove default; add sensitive = true</t>
  </si>
  <si>
    <t xml:space="preserve">Rotation and history purge are operational steps outside code; not tested.</t>
  </si>
  <si>
    <t xml:space="preserve">rem-tc15</t>
  </si>
  <si>
    <t xml:space="preserve">30a6cf7</t>
  </si>
  <si>
    <t xml:space="preserve">38412968077</t>
  </si>
  <si>
    <t xml:space="preserve">95 APPROVE — LOW: no validation block / no confirmed secret store</t>
  </si>
  <si>
    <t xml:space="preserve">Yes (code)</t>
  </si>
  <si>
    <t xml:space="preserve">Yes (LOW note)</t>
  </si>
  <si>
    <t xml:space="preserve">Summary (formulas; primary variant 'a' unless stated)</t>
  </si>
  <si>
    <t xml:space="preserve">Cases with an AI remediation tested (variant a)</t>
  </si>
  <si>
    <t xml:space="preserve">Target resolved vs ground truth (variant a; 'Yes…' incl. qualified)</t>
  </si>
  <si>
    <t xml:space="preserve">Passed terraform fmt + validate (variant a)</t>
  </si>
  <si>
    <t xml:space="preserve">Fix confirmed by a scanner that had detected the target</t>
  </si>
  <si>
    <t xml:space="preserve">Cases where neither scanner could confirm (blind)</t>
  </si>
  <si>
    <t xml:space="preserve">AI re-review accepted its own fix (variant a, 'Yes…')</t>
  </si>
  <si>
    <t xml:space="preserve">AI re-review rejected its own fix with a HIGH finding (variant a)</t>
  </si>
  <si>
    <t xml:space="preserve">Variant b (stale comment corrected, TC02–TC04): AI accepted the fix</t>
  </si>
  <si>
    <t xml:space="preserve">AI remediation for a false finding that broke validation</t>
  </si>
  <si>
    <t xml:space="preserve">rem-tc10tags validate error (log supplied by AB, 13 Oct 2026; archived at step3/rem-logs/38412955313-terraform-validate.txt): Error: Unsupported argument on tc10_iam.tf line 14 — An argument named "tags" is not expected here.</t>
  </si>
  <si>
    <t xml:space="preserve">#</t>
  </si>
  <si>
    <t xml:space="preserve">Item</t>
  </si>
  <si>
    <t xml:space="preserve">Proposed treatment</t>
  </si>
  <si>
    <t xml:space="preserve">AB decision</t>
  </si>
  <si>
    <t xml:space="preserve">TC12 tfsec AVD-AZU-0047 and AI SEC-001: count the shared-NSG / wildcard-destination scope as a separate weakness?</t>
  </si>
  <si>
    <t xml:space="preserve">Keep as CONTEXT; report both readings (FP against TC12-GT-01 vs valid scope concern).</t>
  </si>
  <si>
    <t xml:space="preserve">Agreed — proposed treatment adopted (AB, 13 Oct 2026)</t>
  </si>
  <si>
    <t xml:space="preserve">TC08 AI result</t>
  </si>
  <si>
    <t xml:space="preserve">Report PARTIAL: raised 4/4, confirmed 1/3 successful runs; treat as classification instability.</t>
  </si>
  <si>
    <t xml:space="preserve">TC01 hybrid result</t>
  </si>
  <si>
    <t xml:space="preserve">Report as UNVERIFIED; use independent TC01 (clean 3/3) as the baseline result; disclose baseline evolution.</t>
  </si>
  <si>
    <t xml:space="preserve">TC11 construct</t>
  </si>
  <si>
    <t xml:space="preserve">Count detections, but state the case does not isolate multi-file reasoning (wildcard alone triggers CKV_AZURE_39).</t>
  </si>
  <si>
    <t xml:space="preserve">AI TAG-001 findings on non-taggable resources (TC10, TC12)</t>
  </si>
  <si>
    <t xml:space="preserve">Count as AI false positives (unrelated to target).</t>
  </si>
  <si>
    <t xml:space="preserve">Input asymmetry: only the AI receives ai/policy.md (NET-001, NET-002, LOG-001, SEC-001, TAG-001)</t>
  </si>
  <si>
    <t xml:space="preserve">Report as a fairness/validity limitation, especially for TC05, TC06, TC08, TC12.</t>
  </si>
  <si>
    <t xml:space="preserve">Severity comparison</t>
  </si>
  <si>
    <t xml:space="preserve">Do not compare severities across tools; report AI severity variability only.</t>
  </si>
  <si>
    <t xml:space="preserve">Ground truth source</t>
  </si>
  <si>
    <t xml:space="preserve">Use Confluence v72 per-case ground truth (more specific than GT Matrix v1.0); note GT v1.0 TC04 wording differs.</t>
  </si>
  <si>
    <t xml:space="preserve">Checkov TC02–TC04 misses</t>
  </si>
  <si>
    <t xml:space="preserve">Report as reproducible rule-matching limitation with the local probe as evidence.</t>
  </si>
  <si>
    <t xml:space="preserve">Close PRs #56–#81 without merging after sign-off</t>
  </si>
  <si>
    <t xml:space="preserve">TC12/TC14 wildcard-destination scope in AI confirmed findings (TC12 run 1 F-001, F-002; TC14 run 1 F-001)</t>
  </si>
  <si>
    <t xml:space="preserve">Keep FALSE per pre-fixed ground truth; report sensitivity in Ch4.3 and Ch5 validity: FALSE 7→4, precision 82%→89% (40/45), non-vulnerable runs with a false finding 3→2 of 9. tfsec AVD-AZU-0047 concerns source only, so unaffected. Implements decision #1.</t>
  </si>
  <si>
    <t xml:space="preserve">Agreed (AB, 13 Oct 2026)</t>
  </si>
  <si>
    <t xml:space="preserve">AI explanation and remediation quality — operational scoring rules</t>
  </si>
  <si>
    <t xml:space="preserve">Rubric dimensions and 0–2 scale come from the TC01–TC12 Ground-Truth Matrix (remediation-quality rubric). The operational definitions below were written on 13 Oct 2026 to make the rubric applicable consistently. They were written AFTER the AI outputs had been read, by an AI assistant (Claude) acting as scorer; see the disclosure at the bottom.</t>
  </si>
  <si>
    <t xml:space="preserve">Dimension</t>
  </si>
  <si>
    <t xml:space="preserve">2 = full</t>
  </si>
  <si>
    <t xml:space="preserve">1 = partial</t>
  </si>
  <si>
    <t xml:space="preserve">0 = none / wrong</t>
  </si>
  <si>
    <t xml:space="preserve">D  Detection correctness (vulnerable case)</t>
  </si>
  <si>
    <t xml:space="preserve">Target condition raised as CONFIRMED on the correct resource.</t>
  </si>
  <si>
    <t xml:space="preserve">Target raised but as NEEDS_CONTEXT (hidden from PR comment), or only partly identified.</t>
  </si>
  <si>
    <t xml:space="preserve">Target not raised, classified FALSE_POSITIVE, or run failed validation.</t>
  </si>
  <si>
    <t xml:space="preserve">D  Detection correctness (non-vulnerable case)</t>
  </si>
  <si>
    <t xml:space="preserve">No confirmed finding against the acceptable configuration.</t>
  </si>
  <si>
    <t xml:space="preserve">Only a LOW or unrelated confirmed finding.</t>
  </si>
  <si>
    <t xml:space="preserve">Blocks (fails the gate on) the acceptable configuration.</t>
  </si>
  <si>
    <t xml:space="preserve">E  Explanation accuracy</t>
  </si>
  <si>
    <t xml:space="preserve">Every technical and policy claim is correct.</t>
  </si>
  <si>
    <t xml:space="preserve">Contains one or more inaccurate claims, or maps the finding to an inapplicable policy (e.g. SEC-001 'public exposure' applied to IAM, TLS or secrets; tags claimed on a non-taggable resource type).</t>
  </si>
  <si>
    <t xml:space="preserve">Core explanation materially wrong.</t>
  </si>
  <si>
    <t xml:space="preserve">I  Impact explanation</t>
  </si>
  <si>
    <t xml:space="preserve">Specific consequence for this configuration (who can reach/do what).</t>
  </si>
  <si>
    <t xml:space="preserve">Generic or partly inaccurate impact.</t>
  </si>
  <si>
    <t xml:space="preserve">Missing.</t>
  </si>
  <si>
    <t xml:space="preserve">R  Remediation quality</t>
  </si>
  <si>
    <t xml:space="preserve">Correct, actionable, addresses the root cause and would yield the ground-truth secure state.</t>
  </si>
  <si>
    <t xml:space="preserve">Partly correct, or misses part of the secure state, or adds questionable advice.</t>
  </si>
  <si>
    <t xml:space="preserve">Wrong or absent.</t>
  </si>
  <si>
    <t xml:space="preserve">C  Context awareness</t>
  </si>
  <si>
    <t xml:space="preserve">Correctly uses related resources/files (associations, requirements, other files).</t>
  </si>
  <si>
    <t xml:space="preserve">Some context used but incomplete or misread.</t>
  </si>
  <si>
    <t xml:space="preserve">Ignores relevant context.</t>
  </si>
  <si>
    <t xml:space="preserve">U  Developer usefulness</t>
  </si>
  <si>
    <t xml:space="preserve">A developer could act on the PR comment immediately; no noise.</t>
  </si>
  <si>
    <t xml:space="preserve">Useful but with noise: extra false or duplicate CONFIRMED findings.</t>
  </si>
  <si>
    <t xml:space="preserve">Misleading or useless in the PR comment: target hidden (NEEDS_CONTEXT is not shown), run failed, or legitimate configuration blocked.</t>
  </si>
  <si>
    <t xml:space="preserve">Application notes</t>
  </si>
  <si>
    <t xml:space="preserve">1. Scope: vulnerable cases (TC02–TC11, TC13, TC15) are scored on all six dimensions (max 12). Non-vulnerable cases (TC01, TC12, TC14) are scored on D, E and U only (max 6); I, R and C are 'n/a'.</t>
  </si>
  <si>
    <t xml:space="preserve">2. Each run is scored separately (3 runs per case; 4 for TC08 because one PR run failed validation and a fourth dispatch was made).</t>
  </si>
  <si>
    <t xml:space="preserve">3. Only the AI output of the INDEPENDENT condition is scored (scanner_findings_supplied_to_ai = false). Hybrid (Condition C) outputs are not scored here.</t>
  </si>
  <si>
    <t xml:space="preserve">4. Policy mis-mapping is penalised under E only (not U) to avoid double counting; it is also flagged separately in column O of 'AI Quality Scoring' so analysis can exclude it.</t>
  </si>
  <si>
    <t xml:space="preserve">5. Disclosure / validity threat: the scorer is an AI assistant that read all outputs before writing these rules. No independent second rater was used (AB decided on 13 Oct not to score the sample); scores are a single rubric application with a written justification per score, reported as a limitation.</t>
  </si>
  <si>
    <t xml:space="preserve">6. TC13–TC15 (added 13 Oct 2026) were scored from their ai_output.json artefacts after AB downloaded them (13 Oct, 15:50), using the same rules.</t>
  </si>
  <si>
    <t xml:space="preserve">Ground truth</t>
  </si>
  <si>
    <t xml:space="preserve">Target status in AI output</t>
  </si>
  <si>
    <t xml:space="preserve">D</t>
  </si>
  <si>
    <t xml:space="preserve">E</t>
  </si>
  <si>
    <t xml:space="preserve">I</t>
  </si>
  <si>
    <t xml:space="preserve">R</t>
  </si>
  <si>
    <t xml:space="preserve">C</t>
  </si>
  <si>
    <t xml:space="preserve">U</t>
  </si>
  <si>
    <t xml:space="preserve">Total</t>
  </si>
  <si>
    <t xml:space="preserve">Max</t>
  </si>
  <si>
    <t xml:space="preserve">Score %</t>
  </si>
  <si>
    <t xml:space="preserve">Policy mis-map?</t>
  </si>
  <si>
    <t xml:space="preserve">Noise in PR comment?</t>
  </si>
  <si>
    <t xml:space="preserve">Scorer justification</t>
  </si>
  <si>
    <t xml:space="preserve">Not vulnerable</t>
  </si>
  <si>
    <t xml:space="preserve">No confirmed findings</t>
  </si>
  <si>
    <t xml:space="preserve">N</t>
  </si>
  <si>
    <t xml:space="preserve">Clean. One FALSE_POSITIVE informational note (DNS zone name split) correctly dismissed; not shown in PR comment.</t>
  </si>
  <si>
    <t xml:space="preserve">No findings</t>
  </si>
  <si>
    <t xml:space="preserve">Clean; no findings.</t>
  </si>
  <si>
    <t xml:space="preserve">Clean. Three FALSE_POSITIVE informational notes, all correct dismissals (outbound deny, DDoS not applicable, NSG association present).</t>
  </si>
  <si>
    <t xml:space="preserve">CONFIRMED</t>
  </si>
  <si>
    <t xml:space="preserve">SSH 22 from 0.0.0.0/0 identified on the correct rule; specific internet brute-force impact; restrict source to approved CIDR/Bastion; uses NSG–subnet association.</t>
  </si>
  <si>
    <t xml:space="preserve">As run 1; accurate and actionable.</t>
  </si>
  <si>
    <t xml:space="preserve">RDP 3389 from any source; SEC-001 mapping appropriate (public exposure); remediation restricts source / Bastion.</t>
  </si>
  <si>
    <t xml:space="preserve">Y</t>
  </si>
  <si>
    <t xml:space="preserve">Target correct, but a second CONFIRMED HIGH finding (F-002 'SEC-001 violation') duplicates F-001 — duplicate noise in the PR comment.</t>
  </si>
  <si>
    <t xml:space="preserve">HTTP 80 from any source identified; impact framed as generic exposure with no reference to unencrypted HTTP; remediation restricts source only, no HTTPS/redirect alternative.</t>
  </si>
  <si>
    <t xml:space="preserve">As run 1 (no unencrypted-transport reasoning, no HTTPS alternative).</t>
  </si>
  <si>
    <t xml:space="preserve">Missing subnet–NSG association found by cross-file reasoning (NSG exists, no association). Extra NEEDS_CONTEXT LOW note on DNS comment, not shown in PR comment.</t>
  </si>
  <si>
    <t xml:space="preserve">As run 1 (severity MEDIUM rather than HIGH; does not affect rubric).</t>
  </si>
  <si>
    <t xml:space="preserve">Public DNS resolver on VNet mapped correctly to NET-002; remediation: Azure-provided or internal DNS.</t>
  </si>
  <si>
    <t xml:space="preserve">min_tls_version TLS1_0 correctly identified with TLS1_2 remediation. TLS finding mapped to SEC-001 (public exposure) — inapplicable; no encryption policy exists in ai/policy.md. Tag finding (owner, cost-center missing) is correct.</t>
  </si>
  <si>
    <t xml:space="preserve">As run 1 (SEC-001 mis-mapping; tag finding correct).</t>
  </si>
  <si>
    <t xml:space="preserve">FALSE_POSITIVE (run failed validation)</t>
  </si>
  <si>
    <t xml:space="preserve">Missing NSG diagnostic setting raised but classified FALSE_POSITIVE while mapped to LOG-001; validate_review rejected output, run failed. Summary misreads the comment as stating the omission is intentional. Recommendation itself correct. No PR comment produced.</t>
  </si>
  <si>
    <t xml:space="preserve">NEEDS_CONTEXT</t>
  </si>
  <si>
    <t xml:space="preserve">Explanation, impact and remediation (diagnostic setting with both NSG categories) accurate, but NEEDS_CONTEXT is not shown in the PR comment, so the developer sees no finding.</t>
  </si>
  <si>
    <t xml:space="preserve">As run 2.</t>
  </si>
  <si>
    <t xml:space="preserve">CONFIRMED and mapped to LOG-001 with a complete azurerm_monitor_diagnostic_setting example.</t>
  </si>
  <si>
    <t xml:space="preserve">Hard-coded credential in local found (scanners missed it). State exposure stated conditionally ('if the configuration is ever applied'), consistent with HashiCorp guidance that secrets in configuration are stored in state; not penalised. Remediation (Key Vault / sensitive variable, rotate) correct. Revised 13 Oct after checking vendor documentation.</t>
  </si>
  <si>
    <t xml:space="preserve">States unconditionally that the value 'appears in terraform.tfstate' — false for an unreferenced local in an unapplied configuration; also mapped to SEC-001 (public exposure), inapplicable to secrets.</t>
  </si>
  <si>
    <t xml:space="preserve">State exposure stated conditionally (acceptable); mapped to SEC-001 (public exposure), inapplicable to secrets.</t>
  </si>
  <si>
    <t xml:space="preserve">Wildcard Actions at subscription scope correctly identified. Second CONFIRMED finding claims azurerm_role_definition needs TAG-001 tags — resource is not taggable (false positive). Remediation includes questionable lifecycle advice.</t>
  </si>
  <si>
    <t xml:space="preserve">Target correct; mapped to SEC-001 (public exposure) — inapplicable to IAM.</t>
  </si>
  <si>
    <t xml:space="preserve">Target correct; SEC-001 mis-mapping plus false TAG-001 finding on non-taggable role definition.</t>
  </si>
  <si>
    <t xml:space="preserve">Wildcard custom role vs documented least-privilege task requirement in another file identified; SEC-001 mis-mapping. (Construct not isolated: wildcard alone also triggers Checkov CKV_AZURE_39.)</t>
  </si>
  <si>
    <t xml:space="preserve">As run 1; explicitly compares against documented task requirements.</t>
  </si>
  <si>
    <t xml:space="preserve">As run 2, without policy mis-mapping.</t>
  </si>
  <si>
    <t xml:space="preserve">CONFIRMED HIGH (blocks)</t>
  </si>
  <si>
    <t xml:space="preserve">Legitimate public HTTPS treated as HIGH vulnerability; gate blocked (score 50). Also claims azurerm_network_security_rule supports tags (false).</t>
  </si>
  <si>
    <t xml:space="preserve">CONFIRMED LOW (tag) only</t>
  </si>
  <si>
    <t xml:space="preserve">HTTPS exposure correctly not confirmed (destination-scope note as NEEDS_CONTEXT). Confirmed LOW TAG-001 finding is false: network security rules are not taggable.</t>
  </si>
  <si>
    <t xml:space="preserve">Correctly accepted; correctly states rules are not taggable. Caveat: cites the fixture comment 'Ground truth: public TCP/443 ingress is intentional' — the test file cues the answer.</t>
  </si>
  <si>
    <t xml:space="preserve">Contributor at subscription vs Reader-on-RG requirement identified by cross-file reasoning (tc13_requirements.tf); exact remediation (Reader, resource-group scope). No policy mapping.</t>
  </si>
  <si>
    <t xml:space="preserve">Target and fix correct, but claims Contributor can modify role assignments; Contributor excludes Microsoft.Authorization write/delete actions (NotActions).</t>
  </si>
  <si>
    <t xml:space="preserve">Target and fix correct; impact lists 'IAM assignments' among what Contributor can modify — inaccurate (Microsoft.Authorization write excluded).</t>
  </si>
  <si>
    <t xml:space="preserve">CONFIRMED LOW (wildcard destination)</t>
  </si>
  <si>
    <t xml:space="preserve">Restricted SSH correctly not treated as public exposure, but a hardening suggestion was CONFIRMED at LOW; ground truth TC14-GT-01 says no confirmed finding.</t>
  </si>
  <si>
    <t xml:space="preserve">Accepted; NEEDS_CONTEXT LOW note asking to confirm the address is a managed bastion (hidden from PR comment) — reasonable.</t>
  </si>
  <si>
    <t xml:space="preserve">Accepted; NEEDS_CONTEXT MEDIUM note on bastion ownership plus correct FALSE_POSITIVE dismissals (outbound deny, log quota).</t>
  </si>
  <si>
    <t xml:space="preserve">Hard-coded default password found (scanners missed it). Accurate impact (repository/history exposure); remediation: remove default, sensitive = true, secret store, rotate, purge history.</t>
  </si>
  <si>
    <t xml:space="preserve">Target and remediation correct. Claim that a variable default will appear in state is a generalisation consistent with HashiCorp guidance (secrets in configuration are stored in state and plan files); not penalised. Revised 13 Oct.</t>
  </si>
  <si>
    <t xml:space="preserve">Target correct; correctly qualifies that values reach state only when consumed by a resource; remediation complete (no default, sensitive, secret store, rotate).</t>
  </si>
  <si>
    <t xml:space="preserve">Blue = scorer input (0–2). Totals and percentages are formulas. Source: ai_output.json in each prom06-INDEPENDENT-&lt;run_id&gt; artefact; rules on 'Scoring Rules'.</t>
  </si>
  <si>
    <t xml:space="preserve">Mean — vulnerable runs (TC02–TC11, TC13, TC15)</t>
  </si>
  <si>
    <t xml:space="preserve">Mean — non-vulnerable runs (TC01, TC12, TC14)</t>
  </si>
  <si>
    <t xml:space="preserve">Runs with policy mis-mapping</t>
  </si>
  <si>
    <t xml:space="preserve">Runs with noise in PR comment</t>
  </si>
  <si>
    <t xml:space="preserve">Vulnerable runs scoring 2 on every dimension</t>
  </si>
  <si>
    <t xml:space="preserve">Per test case</t>
  </si>
  <si>
    <t xml:space="preserve">Mean D</t>
  </si>
  <si>
    <t xml:space="preserve">Mean E</t>
  </si>
  <si>
    <t xml:space="preserve">Mean U</t>
  </si>
  <si>
    <t xml:space="preserve">Mean R (vuln.)</t>
  </si>
  <si>
    <t xml:space="preserve">Mean score %</t>
  </si>
  <si>
    <t xml:space="preserve">Min score %</t>
  </si>
  <si>
    <t xml:space="preserve">Ground-truth vulnerability</t>
  </si>
  <si>
    <t xml:space="preserve">Checkov result</t>
  </si>
  <si>
    <t xml:space="preserve">tfsec result</t>
  </si>
  <si>
    <t xml:space="preserve">AI reviewer result</t>
  </si>
  <si>
    <t xml:space="preserve">Secure Baseline</t>
  </si>
  <si>
    <t xml:space="preserve">No Security Issue Detected</t>
  </si>
  <si>
    <t xml:space="preserve">Unrestricted SSH ingress</t>
  </si>
  <si>
    <t xml:space="preserve">Not Detected</t>
  </si>
  <si>
    <t xml:space="preserve">Detected — critical</t>
  </si>
  <si>
    <t xml:space="preserve">Unrestricted RDP ingress</t>
  </si>
  <si>
    <t xml:space="preserve">Public HTTP ingress</t>
  </si>
  <si>
    <t xml:space="preserve">Detected - High</t>
  </si>
  <si>
    <t xml:space="preserve">Missing NSG association</t>
  </si>
  <si>
    <t xml:space="preserve">Detected</t>
  </si>
  <si>
    <t xml:space="preserve">Not detected</t>
  </si>
  <si>
    <t xml:space="preserve">Detected - Medium</t>
  </si>
  <si>
    <t xml:space="preserve">Public DNS configuration</t>
  </si>
  <si>
    <t xml:space="preserve">Weak TLS configuration</t>
  </si>
  <si>
    <t xml:space="preserve">Missing Diagnostics &amp; Audit Logging</t>
  </si>
  <si>
    <t xml:space="preserve">Plaintext credential</t>
  </si>
  <si>
    <t xml:space="preserve">Multi-File, Contect Dependent Security Weakness</t>
  </si>
  <si>
    <t xml:space="preserve">Legitamte Public HTTPS Service</t>
  </si>
  <si>
    <t xml:space="preserve">Unchanged copy of AB's draft (Results_Matrix_Draft.xlsx) for traceability. Superseded by 'Verified Matrix'.</t>
  </si>
</sst>
</file>

<file path=xl/styles.xml><?xml version="1.0" encoding="utf-8"?>
<styleSheet xmlns="http://schemas.openxmlformats.org/spreadsheetml/2006/main">
  <numFmts count="6">
    <numFmt numFmtId="164" formatCode="General"/>
    <numFmt numFmtId="165" formatCode="0%"/>
    <numFmt numFmtId="166" formatCode="0"/>
    <numFmt numFmtId="167" formatCode="0.0"/>
    <numFmt numFmtId="168" formatCode="General"/>
    <numFmt numFmtId="169"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i val="true"/>
      <sz val="11"/>
      <name val="Arial"/>
      <family val="0"/>
      <charset val="1"/>
    </font>
    <font>
      <sz val="11"/>
      <color rgb="FF008000"/>
      <name val="Arial"/>
      <family val="0"/>
      <charset val="1"/>
    </font>
    <font>
      <sz val="11"/>
      <color rgb="FF0000F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E2EFDA"/>
        <bgColor rgb="FFEDEDED"/>
      </patternFill>
    </fill>
    <fill>
      <patternFill patternType="solid">
        <fgColor rgb="FFEDEDED"/>
        <bgColor rgb="FFE2EFDA"/>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8"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8" fontId="5" fillId="0"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EDEDED"/>
          <bgColor rgb="FF000000"/>
        </patternFill>
      </fill>
    </dxf>
    <dxf>
      <fill>
        <patternFill patternType="solid">
          <fgColor rgb="FFC6EFCE"/>
          <bgColor rgb="FF000000"/>
        </patternFill>
      </fill>
    </dxf>
    <dxf>
      <fill>
        <patternFill>
          <bgColor rgb="FFC6EFCE"/>
        </patternFill>
      </fill>
    </dxf>
    <dxf>
      <fill>
        <patternFill>
          <bgColor rgb="FFFFEB9C"/>
        </patternFill>
      </fill>
    </dxf>
    <dxf>
      <fill>
        <patternFill>
          <bgColor rgb="FFFFC7CE"/>
        </patternFill>
      </fill>
    </dxf>
    <dxf>
      <fill>
        <patternFill patternType="solid">
          <fgColor rgb="FFFFC7CE"/>
          <bgColor rgb="FF000000"/>
        </patternFill>
      </fill>
    </dxf>
    <dxf>
      <fill>
        <patternFill patternType="solid">
          <fgColor rgb="FFFFEB9C"/>
          <bgColor rgb="FF000000"/>
        </patternFill>
      </fill>
    </dxf>
    <dxf>
      <fill>
        <patternFill patternType="solid">
          <fgColor rgb="FF0000FF"/>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2EFDA"/>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_rels/sheet16.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0"/>
  </cols>
  <sheetData>
    <row r="1" customFormat="false" ht="17.25" hidden="false" customHeight="true" outlineLevel="0" collapsed="false">
      <c r="A1" s="2" t="s">
        <v>0</v>
      </c>
    </row>
    <row r="2" customFormat="false" ht="39" hidden="false" customHeight="true" outlineLevel="0" collapsed="false">
      <c r="A2" s="3" t="s">
        <v>1</v>
      </c>
    </row>
    <row r="3" customFormat="false" ht="15" hidden="false" customHeight="true" outlineLevel="0" collapsed="false">
      <c r="A3" s="3" t="s">
        <v>2</v>
      </c>
    </row>
    <row r="4" customFormat="false" ht="15" hidden="false" customHeight="true" outlineLevel="0" collapsed="false">
      <c r="A4" s="4" t="s">
        <v>3</v>
      </c>
    </row>
    <row r="5" customFormat="false" ht="15" hidden="false" customHeight="true" outlineLevel="0" collapsed="false">
      <c r="A5" s="3" t="s">
        <v>4</v>
      </c>
    </row>
    <row r="6" customFormat="false" ht="26.25" hidden="false" customHeight="true" outlineLevel="0" collapsed="false">
      <c r="A6" s="3" t="s">
        <v>5</v>
      </c>
    </row>
    <row r="7" customFormat="false" ht="26.25" hidden="false" customHeight="true" outlineLevel="0" collapsed="false">
      <c r="A7" s="3" t="s">
        <v>6</v>
      </c>
    </row>
    <row r="8" customFormat="false" ht="15" hidden="false" customHeight="true" outlineLevel="0" collapsed="false">
      <c r="A8" s="3" t="s">
        <v>7</v>
      </c>
    </row>
    <row r="9" customFormat="false" ht="26.25" hidden="false" customHeight="true" outlineLevel="0" collapsed="false">
      <c r="A9" s="3" t="s">
        <v>8</v>
      </c>
    </row>
    <row r="10" customFormat="false" ht="15" hidden="false" customHeight="true" outlineLevel="0" collapsed="false">
      <c r="A10" s="3" t="s">
        <v>9</v>
      </c>
    </row>
    <row r="12" customFormat="false" ht="15" hidden="false" customHeight="true" outlineLevel="0" collapsed="false">
      <c r="A12" s="5" t="s">
        <v>10</v>
      </c>
    </row>
    <row r="13" customFormat="false" ht="15" hidden="false" customHeight="true" outlineLevel="0" collapsed="false">
      <c r="A13" s="6" t="s">
        <v>11</v>
      </c>
    </row>
    <row r="14" customFormat="false" ht="15" hidden="false" customHeight="true" outlineLevel="0" collapsed="false">
      <c r="A14" s="6" t="s">
        <v>12</v>
      </c>
    </row>
    <row r="15" customFormat="false" ht="15" hidden="false" customHeight="true" outlineLevel="0" collapsed="false">
      <c r="A15" s="6" t="s">
        <v>13</v>
      </c>
    </row>
    <row r="16" customFormat="false" ht="15" hidden="false" customHeight="true" outlineLevel="0" collapsed="false">
      <c r="A16" s="6" t="s">
        <v>14</v>
      </c>
    </row>
    <row r="17" customFormat="false" ht="15" hidden="false" customHeight="true" outlineLevel="0" collapsed="false">
      <c r="A17" s="6" t="s">
        <v>15</v>
      </c>
    </row>
    <row r="18" customFormat="false" ht="15" hidden="false" customHeight="true" outlineLevel="0" collapsed="false">
      <c r="A18" s="6"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34"/>
    <col collapsed="false" customWidth="true" hidden="false" outlineLevel="0" max="4" min="4" style="1" width="12"/>
    <col collapsed="false" customWidth="true" hidden="false" outlineLevel="0" max="5" min="5" style="1" width="30"/>
    <col collapsed="false" customWidth="true" hidden="false" outlineLevel="0" max="6" min="6" style="1" width="10"/>
    <col collapsed="false" customWidth="true" hidden="false" outlineLevel="0" max="7" min="7" style="1" width="30"/>
    <col collapsed="false" customWidth="true" hidden="false" outlineLevel="0" max="8" min="8" style="1" width="10"/>
    <col collapsed="false" customWidth="true" hidden="false" outlineLevel="0" max="9" min="9" style="1" width="40"/>
    <col collapsed="false" customWidth="true" hidden="false" outlineLevel="0" max="10" min="10" style="1" width="11"/>
    <col collapsed="false" customWidth="true" hidden="false" outlineLevel="0" max="11" min="11" style="1" width="34"/>
    <col collapsed="false" customWidth="true" hidden="false" outlineLevel="0" max="12" min="12" style="1" width="11"/>
    <col collapsed="false" customWidth="true" hidden="false" outlineLevel="0" max="13" min="13" style="1" width="38"/>
    <col collapsed="false" customWidth="true" hidden="false" outlineLevel="0" max="14" min="14" style="1" width="30"/>
    <col collapsed="false" customWidth="true" hidden="false" outlineLevel="0" max="15" min="15" style="1" width="40"/>
  </cols>
  <sheetData>
    <row r="1" customFormat="false" ht="39" hidden="false" customHeight="true" outlineLevel="0" collapsed="false">
      <c r="A1" s="7" t="s">
        <v>17</v>
      </c>
      <c r="B1" s="7" t="s">
        <v>18</v>
      </c>
      <c r="C1" s="7" t="s">
        <v>19</v>
      </c>
      <c r="D1" s="7" t="s">
        <v>20</v>
      </c>
      <c r="E1" s="7" t="s">
        <v>21</v>
      </c>
      <c r="F1" s="7" t="s">
        <v>22</v>
      </c>
      <c r="G1" s="7" t="s">
        <v>23</v>
      </c>
      <c r="H1" s="7" t="s">
        <v>24</v>
      </c>
      <c r="I1" s="7" t="s">
        <v>25</v>
      </c>
      <c r="J1" s="7" t="s">
        <v>26</v>
      </c>
      <c r="K1" s="7" t="s">
        <v>27</v>
      </c>
      <c r="L1" s="7" t="s">
        <v>28</v>
      </c>
      <c r="M1" s="7" t="s">
        <v>29</v>
      </c>
      <c r="N1" s="7" t="s">
        <v>30</v>
      </c>
      <c r="O1" s="7" t="s">
        <v>31</v>
      </c>
    </row>
    <row r="2" customFormat="false" ht="64.5" hidden="false" customHeight="true" outlineLevel="0" collapsed="false">
      <c r="A2" s="8" t="s">
        <v>32</v>
      </c>
      <c r="B2" s="8" t="s">
        <v>33</v>
      </c>
      <c r="C2" s="8" t="s">
        <v>34</v>
      </c>
      <c r="D2" s="8" t="s">
        <v>35</v>
      </c>
      <c r="E2" s="8" t="s">
        <v>36</v>
      </c>
      <c r="F2" s="9" t="s">
        <v>37</v>
      </c>
      <c r="G2" s="8" t="s">
        <v>38</v>
      </c>
      <c r="H2" s="9" t="s">
        <v>37</v>
      </c>
      <c r="I2" s="8" t="s">
        <v>39</v>
      </c>
      <c r="J2" s="9" t="s">
        <v>37</v>
      </c>
      <c r="K2" s="8" t="s">
        <v>40</v>
      </c>
      <c r="L2" s="10" t="s">
        <v>41</v>
      </c>
      <c r="M2" s="8" t="s">
        <v>42</v>
      </c>
      <c r="N2" s="8" t="s">
        <v>43</v>
      </c>
      <c r="O2" s="8" t="s">
        <v>44</v>
      </c>
    </row>
    <row r="3" customFormat="false" ht="39" hidden="false" customHeight="true" outlineLevel="0" collapsed="false">
      <c r="A3" s="8" t="s">
        <v>45</v>
      </c>
      <c r="B3" s="8" t="s">
        <v>46</v>
      </c>
      <c r="C3" s="8" t="s">
        <v>47</v>
      </c>
      <c r="D3" s="8" t="s">
        <v>48</v>
      </c>
      <c r="E3" s="8" t="s">
        <v>49</v>
      </c>
      <c r="F3" s="11" t="s">
        <v>50</v>
      </c>
      <c r="G3" s="8" t="s">
        <v>51</v>
      </c>
      <c r="H3" s="9" t="s">
        <v>52</v>
      </c>
      <c r="I3" s="8" t="s">
        <v>53</v>
      </c>
      <c r="J3" s="9" t="s">
        <v>52</v>
      </c>
      <c r="K3" s="8" t="s">
        <v>54</v>
      </c>
      <c r="L3" s="9" t="s">
        <v>52</v>
      </c>
      <c r="M3" s="8" t="s">
        <v>55</v>
      </c>
      <c r="N3" s="8" t="s">
        <v>56</v>
      </c>
      <c r="O3" s="8" t="s">
        <v>57</v>
      </c>
    </row>
    <row r="4" customFormat="false" ht="39" hidden="false" customHeight="true" outlineLevel="0" collapsed="false">
      <c r="A4" s="8" t="s">
        <v>58</v>
      </c>
      <c r="B4" s="8" t="s">
        <v>59</v>
      </c>
      <c r="C4" s="8" t="s">
        <v>60</v>
      </c>
      <c r="D4" s="8" t="s">
        <v>48</v>
      </c>
      <c r="E4" s="8" t="s">
        <v>61</v>
      </c>
      <c r="F4" s="11" t="s">
        <v>50</v>
      </c>
      <c r="G4" s="8" t="s">
        <v>62</v>
      </c>
      <c r="H4" s="9" t="s">
        <v>52</v>
      </c>
      <c r="I4" s="8" t="s">
        <v>63</v>
      </c>
      <c r="J4" s="9" t="s">
        <v>52</v>
      </c>
      <c r="K4" s="8" t="s">
        <v>64</v>
      </c>
      <c r="L4" s="9" t="s">
        <v>52</v>
      </c>
      <c r="M4" s="8" t="s">
        <v>65</v>
      </c>
      <c r="N4" s="8" t="s">
        <v>66</v>
      </c>
      <c r="O4" s="8" t="s">
        <v>67</v>
      </c>
    </row>
    <row r="5" customFormat="false" ht="51.75" hidden="false" customHeight="true" outlineLevel="0" collapsed="false">
      <c r="A5" s="8" t="s">
        <v>68</v>
      </c>
      <c r="B5" s="8" t="s">
        <v>69</v>
      </c>
      <c r="C5" s="8" t="s">
        <v>70</v>
      </c>
      <c r="D5" s="8" t="s">
        <v>48</v>
      </c>
      <c r="E5" s="8" t="s">
        <v>71</v>
      </c>
      <c r="F5" s="11" t="s">
        <v>50</v>
      </c>
      <c r="G5" s="8" t="s">
        <v>72</v>
      </c>
      <c r="H5" s="9" t="s">
        <v>52</v>
      </c>
      <c r="I5" s="8" t="s">
        <v>73</v>
      </c>
      <c r="J5" s="9" t="s">
        <v>52</v>
      </c>
      <c r="K5" s="8" t="s">
        <v>74</v>
      </c>
      <c r="L5" s="9" t="s">
        <v>52</v>
      </c>
      <c r="M5" s="8" t="s">
        <v>75</v>
      </c>
      <c r="N5" s="8" t="s">
        <v>76</v>
      </c>
      <c r="O5" s="8" t="s">
        <v>77</v>
      </c>
    </row>
    <row r="6" customFormat="false" ht="39" hidden="false" customHeight="true" outlineLevel="0" collapsed="false">
      <c r="A6" s="8" t="s">
        <v>78</v>
      </c>
      <c r="B6" s="8" t="s">
        <v>79</v>
      </c>
      <c r="C6" s="8" t="s">
        <v>80</v>
      </c>
      <c r="D6" s="8" t="s">
        <v>48</v>
      </c>
      <c r="E6" s="8" t="s">
        <v>81</v>
      </c>
      <c r="F6" s="9" t="s">
        <v>52</v>
      </c>
      <c r="G6" s="8" t="s">
        <v>38</v>
      </c>
      <c r="H6" s="11" t="s">
        <v>50</v>
      </c>
      <c r="I6" s="8" t="s">
        <v>82</v>
      </c>
      <c r="J6" s="9" t="s">
        <v>52</v>
      </c>
      <c r="K6" s="8" t="s">
        <v>83</v>
      </c>
      <c r="L6" s="9" t="s">
        <v>52</v>
      </c>
      <c r="M6" s="8" t="s">
        <v>84</v>
      </c>
      <c r="N6" s="8" t="s">
        <v>85</v>
      </c>
      <c r="O6" s="8" t="s">
        <v>86</v>
      </c>
    </row>
    <row r="7" customFormat="false" ht="39" hidden="false" customHeight="true" outlineLevel="0" collapsed="false">
      <c r="A7" s="8" t="s">
        <v>87</v>
      </c>
      <c r="B7" s="8" t="s">
        <v>88</v>
      </c>
      <c r="C7" s="8" t="s">
        <v>89</v>
      </c>
      <c r="D7" s="8" t="s">
        <v>48</v>
      </c>
      <c r="E7" s="8" t="s">
        <v>90</v>
      </c>
      <c r="F7" s="9" t="s">
        <v>52</v>
      </c>
      <c r="G7" s="8" t="s">
        <v>38</v>
      </c>
      <c r="H7" s="11" t="s">
        <v>50</v>
      </c>
      <c r="I7" s="8" t="s">
        <v>91</v>
      </c>
      <c r="J7" s="9" t="s">
        <v>52</v>
      </c>
      <c r="K7" s="8" t="s">
        <v>92</v>
      </c>
      <c r="L7" s="9" t="s">
        <v>52</v>
      </c>
      <c r="M7" s="8" t="s">
        <v>93</v>
      </c>
      <c r="N7" s="8" t="s">
        <v>94</v>
      </c>
      <c r="O7" s="8" t="s">
        <v>95</v>
      </c>
    </row>
    <row r="8" customFormat="false" ht="51.75" hidden="false" customHeight="true" outlineLevel="0" collapsed="false">
      <c r="A8" s="8" t="s">
        <v>96</v>
      </c>
      <c r="B8" s="8" t="s">
        <v>97</v>
      </c>
      <c r="C8" s="8" t="s">
        <v>98</v>
      </c>
      <c r="D8" s="8" t="s">
        <v>48</v>
      </c>
      <c r="E8" s="8" t="s">
        <v>99</v>
      </c>
      <c r="F8" s="9" t="s">
        <v>52</v>
      </c>
      <c r="G8" s="8" t="s">
        <v>100</v>
      </c>
      <c r="H8" s="9" t="s">
        <v>52</v>
      </c>
      <c r="I8" s="8" t="s">
        <v>101</v>
      </c>
      <c r="J8" s="9" t="s">
        <v>52</v>
      </c>
      <c r="K8" s="8" t="s">
        <v>102</v>
      </c>
      <c r="L8" s="9" t="s">
        <v>52</v>
      </c>
      <c r="M8" s="8" t="s">
        <v>103</v>
      </c>
      <c r="N8" s="8" t="s">
        <v>104</v>
      </c>
      <c r="O8" s="8" t="s">
        <v>105</v>
      </c>
    </row>
    <row r="9" customFormat="false" ht="51.75" hidden="false" customHeight="true" outlineLevel="0" collapsed="false">
      <c r="A9" s="8" t="s">
        <v>106</v>
      </c>
      <c r="B9" s="8" t="s">
        <v>107</v>
      </c>
      <c r="C9" s="8" t="s">
        <v>108</v>
      </c>
      <c r="D9" s="8" t="s">
        <v>48</v>
      </c>
      <c r="E9" s="8" t="s">
        <v>109</v>
      </c>
      <c r="F9" s="11" t="s">
        <v>50</v>
      </c>
      <c r="G9" s="8" t="s">
        <v>38</v>
      </c>
      <c r="H9" s="11" t="s">
        <v>50</v>
      </c>
      <c r="I9" s="8" t="s">
        <v>110</v>
      </c>
      <c r="J9" s="12" t="s">
        <v>111</v>
      </c>
      <c r="K9" s="8" t="s">
        <v>112</v>
      </c>
      <c r="L9" s="9" t="s">
        <v>52</v>
      </c>
      <c r="M9" s="8" t="s">
        <v>75</v>
      </c>
      <c r="N9" s="8" t="s">
        <v>113</v>
      </c>
      <c r="O9" s="8" t="s">
        <v>114</v>
      </c>
    </row>
    <row r="10" customFormat="false" ht="51.75" hidden="false" customHeight="true" outlineLevel="0" collapsed="false">
      <c r="A10" s="8" t="s">
        <v>115</v>
      </c>
      <c r="B10" s="8" t="s">
        <v>116</v>
      </c>
      <c r="C10" s="8" t="s">
        <v>117</v>
      </c>
      <c r="D10" s="8" t="s">
        <v>48</v>
      </c>
      <c r="E10" s="8" t="s">
        <v>118</v>
      </c>
      <c r="F10" s="11" t="s">
        <v>50</v>
      </c>
      <c r="G10" s="8" t="s">
        <v>38</v>
      </c>
      <c r="H10" s="11" t="s">
        <v>50</v>
      </c>
      <c r="I10" s="8" t="s">
        <v>119</v>
      </c>
      <c r="J10" s="9" t="s">
        <v>52</v>
      </c>
      <c r="K10" s="8" t="s">
        <v>120</v>
      </c>
      <c r="L10" s="9" t="s">
        <v>52</v>
      </c>
      <c r="M10" s="8" t="s">
        <v>75</v>
      </c>
      <c r="N10" s="8" t="s">
        <v>121</v>
      </c>
      <c r="O10" s="8" t="s">
        <v>122</v>
      </c>
    </row>
    <row r="11" customFormat="false" ht="39" hidden="false" customHeight="true" outlineLevel="0" collapsed="false">
      <c r="A11" s="8" t="s">
        <v>123</v>
      </c>
      <c r="B11" s="8" t="s">
        <v>124</v>
      </c>
      <c r="C11" s="8" t="s">
        <v>125</v>
      </c>
      <c r="D11" s="8" t="s">
        <v>48</v>
      </c>
      <c r="E11" s="8" t="s">
        <v>126</v>
      </c>
      <c r="F11" s="9" t="s">
        <v>52</v>
      </c>
      <c r="G11" s="8" t="s">
        <v>38</v>
      </c>
      <c r="H11" s="11" t="s">
        <v>50</v>
      </c>
      <c r="I11" s="8" t="s">
        <v>127</v>
      </c>
      <c r="J11" s="9" t="s">
        <v>52</v>
      </c>
      <c r="K11" s="8" t="s">
        <v>128</v>
      </c>
      <c r="L11" s="9" t="s">
        <v>52</v>
      </c>
      <c r="M11" s="8" t="s">
        <v>129</v>
      </c>
      <c r="N11" s="8" t="s">
        <v>130</v>
      </c>
      <c r="O11" s="8" t="s">
        <v>131</v>
      </c>
    </row>
    <row r="12" customFormat="false" ht="64.5" hidden="false" customHeight="true" outlineLevel="0" collapsed="false">
      <c r="A12" s="8" t="s">
        <v>132</v>
      </c>
      <c r="B12" s="8" t="s">
        <v>133</v>
      </c>
      <c r="C12" s="8" t="s">
        <v>134</v>
      </c>
      <c r="D12" s="8" t="s">
        <v>48</v>
      </c>
      <c r="E12" s="8" t="s">
        <v>126</v>
      </c>
      <c r="F12" s="9" t="s">
        <v>52</v>
      </c>
      <c r="G12" s="8" t="s">
        <v>38</v>
      </c>
      <c r="H12" s="11" t="s">
        <v>50</v>
      </c>
      <c r="I12" s="8" t="s">
        <v>135</v>
      </c>
      <c r="J12" s="9" t="s">
        <v>52</v>
      </c>
      <c r="K12" s="8" t="s">
        <v>136</v>
      </c>
      <c r="L12" s="9" t="s">
        <v>52</v>
      </c>
      <c r="M12" s="8" t="s">
        <v>75</v>
      </c>
      <c r="N12" s="8" t="s">
        <v>137</v>
      </c>
      <c r="O12" s="8" t="s">
        <v>138</v>
      </c>
    </row>
    <row r="13" customFormat="false" ht="64.5" hidden="false" customHeight="true" outlineLevel="0" collapsed="false">
      <c r="A13" s="8" t="s">
        <v>139</v>
      </c>
      <c r="B13" s="8" t="s">
        <v>140</v>
      </c>
      <c r="C13" s="8" t="s">
        <v>141</v>
      </c>
      <c r="D13" s="8" t="s">
        <v>142</v>
      </c>
      <c r="E13" s="8" t="s">
        <v>143</v>
      </c>
      <c r="F13" s="9" t="s">
        <v>37</v>
      </c>
      <c r="G13" s="8" t="s">
        <v>144</v>
      </c>
      <c r="H13" s="12" t="s">
        <v>145</v>
      </c>
      <c r="I13" s="8" t="s">
        <v>146</v>
      </c>
      <c r="J13" s="12" t="s">
        <v>145</v>
      </c>
      <c r="K13" s="8" t="s">
        <v>147</v>
      </c>
      <c r="L13" s="12" t="s">
        <v>145</v>
      </c>
      <c r="M13" s="8" t="s">
        <v>148</v>
      </c>
      <c r="N13" s="8" t="s">
        <v>149</v>
      </c>
      <c r="O13" s="8" t="s">
        <v>150</v>
      </c>
    </row>
  </sheetData>
  <autoFilter ref="A1:O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3" min="2" style="1" width="12"/>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17.25" hidden="false" customHeight="true" outlineLevel="0" collapsed="false">
      <c r="A1" s="13" t="s">
        <v>151</v>
      </c>
    </row>
    <row r="3" customFormat="false" ht="26.25" hidden="false" customHeight="true" outlineLevel="0" collapsed="false">
      <c r="A3" s="7" t="s">
        <v>152</v>
      </c>
      <c r="B3" s="7" t="s">
        <v>153</v>
      </c>
      <c r="C3" s="7" t="s">
        <v>154</v>
      </c>
      <c r="D3" s="7" t="s">
        <v>155</v>
      </c>
      <c r="E3" s="7" t="s">
        <v>156</v>
      </c>
      <c r="F3" s="7" t="s">
        <v>157</v>
      </c>
    </row>
    <row r="4" customFormat="false" ht="15" hidden="false" customHeight="true" outlineLevel="0" collapsed="false">
      <c r="A4" s="8" t="s">
        <v>158</v>
      </c>
      <c r="B4" s="8" t="n">
        <f aca="false">COUNTIF('Verified Matrix'!$D$2:$D$13,"Vulnerable")</f>
        <v>10</v>
      </c>
      <c r="C4" s="8" t="n">
        <f aca="false">COUNTIF('Verified Matrix'!$D$2:$D$13,"Vulnerable")</f>
        <v>10</v>
      </c>
      <c r="D4" s="8" t="n">
        <f aca="false">COUNTIF('Verified Matrix'!$D$2:$D$13,"Vulnerable")</f>
        <v>10</v>
      </c>
      <c r="E4" s="8" t="n">
        <f aca="false">COUNTIF('Verified Matrix'!$D$2:$D$13,"Vulnerable")</f>
        <v>10</v>
      </c>
      <c r="F4" s="8" t="s">
        <v>159</v>
      </c>
    </row>
    <row r="5" customFormat="false" ht="15" hidden="false" customHeight="true" outlineLevel="0" collapsed="false">
      <c r="A5" s="8" t="s">
        <v>160</v>
      </c>
      <c r="B5" s="8" t="n">
        <f aca="false">COUNTIFS('Verified Matrix'!$D$2:$D$13,"Vulnerable",'Verified Matrix'!$F$2:$F$13,"TP")</f>
        <v>5</v>
      </c>
      <c r="C5" s="8" t="n">
        <f aca="false">COUNTIFS('Verified Matrix'!$D$2:$D$13,"Vulnerable",'Verified Matrix'!$H$2:$H$13,"TP")</f>
        <v>4</v>
      </c>
      <c r="D5" s="8" t="n">
        <f aca="false">COUNTIFS('Verified Matrix'!$D$2:$D$13,"Vulnerable",'Verified Matrix'!$J$2:$J$13,"TP")</f>
        <v>9</v>
      </c>
      <c r="E5" s="8" t="n">
        <f aca="false">COUNTIFS('Verified Matrix'!$D$2:$D$13,"Vulnerable",'Verified Matrix'!$L$2:$L$13,"TP")</f>
        <v>10</v>
      </c>
      <c r="F5" s="8" t="s">
        <v>161</v>
      </c>
    </row>
    <row r="6" customFormat="false" ht="15" hidden="false" customHeight="true" outlineLevel="0" collapsed="false">
      <c r="A6" s="8" t="s">
        <v>162</v>
      </c>
      <c r="B6" s="8" t="n">
        <f aca="false">COUNTIFS('Verified Matrix'!$D$2:$D$13,"Vulnerable",'Verified Matrix'!$F$2:$F$13,"FN")</f>
        <v>5</v>
      </c>
      <c r="C6" s="8" t="n">
        <f aca="false">COUNTIFS('Verified Matrix'!$D$2:$D$13,"Vulnerable",'Verified Matrix'!$H$2:$H$13,"FN")</f>
        <v>6</v>
      </c>
      <c r="D6" s="8" t="n">
        <f aca="false">COUNTIFS('Verified Matrix'!$D$2:$D$13,"Vulnerable",'Verified Matrix'!$J$2:$J$13,"FN")</f>
        <v>0</v>
      </c>
      <c r="E6" s="8" t="n">
        <f aca="false">COUNTIFS('Verified Matrix'!$D$2:$D$13,"Vulnerable",'Verified Matrix'!$L$2:$L$13,"FN")</f>
        <v>0</v>
      </c>
      <c r="F6" s="8"/>
    </row>
    <row r="7" customFormat="false" ht="15" hidden="false" customHeight="true" outlineLevel="0" collapsed="false">
      <c r="A7" s="8" t="s">
        <v>163</v>
      </c>
      <c r="B7" s="8" t="n">
        <f aca="false">COUNTIFS('Verified Matrix'!$D$2:$D$13,"Vulnerable",'Verified Matrix'!$F$2:$F$13,"PARTIAL")</f>
        <v>0</v>
      </c>
      <c r="C7" s="8" t="n">
        <f aca="false">COUNTIFS('Verified Matrix'!$D$2:$D$13,"Vulnerable",'Verified Matrix'!$H$2:$H$13,"PARTIAL")</f>
        <v>0</v>
      </c>
      <c r="D7" s="8" t="n">
        <f aca="false">COUNTIFS('Verified Matrix'!$D$2:$D$13,"Vulnerable",'Verified Matrix'!$J$2:$J$13,"PARTIAL")</f>
        <v>1</v>
      </c>
      <c r="E7" s="8" t="n">
        <f aca="false">COUNTIFS('Verified Matrix'!$D$2:$D$13,"Vulnerable",'Verified Matrix'!$L$2:$L$13,"PARTIAL")</f>
        <v>0</v>
      </c>
      <c r="F7" s="8" t="s">
        <v>164</v>
      </c>
    </row>
    <row r="8" customFormat="false" ht="26.25" hidden="false" customHeight="true" outlineLevel="0" collapsed="false">
      <c r="A8" s="8" t="s">
        <v>165</v>
      </c>
      <c r="B8" s="14" t="n">
        <f aca="false">IFERROR(B5/B4,0)</f>
        <v>0.5</v>
      </c>
      <c r="C8" s="14" t="n">
        <f aca="false">IFERROR(C5/C4,0)</f>
        <v>0.4</v>
      </c>
      <c r="D8" s="14" t="n">
        <f aca="false">IFERROR(D5/D4,0)</f>
        <v>0.9</v>
      </c>
      <c r="E8" s="14" t="n">
        <f aca="false">IFERROR(E5/E4,0)</f>
        <v>1</v>
      </c>
      <c r="F8" s="8" t="s">
        <v>166</v>
      </c>
    </row>
    <row r="9" customFormat="false" ht="15" hidden="false" customHeight="true" outlineLevel="0" collapsed="false">
      <c r="A9" s="8" t="s">
        <v>167</v>
      </c>
      <c r="B9" s="8" t="n">
        <f aca="false">COUNTIFS('Verified Matrix'!$D$2:$D$13,"Secure",'Verified Matrix'!$F$2:$F$13,"TN")</f>
        <v>1</v>
      </c>
      <c r="C9" s="8" t="n">
        <f aca="false">COUNTIFS('Verified Matrix'!$D$2:$D$13,"Secure",'Verified Matrix'!$H$2:$H$13,"TN")</f>
        <v>1</v>
      </c>
      <c r="D9" s="8" t="n">
        <f aca="false">COUNTIFS('Verified Matrix'!$D$2:$D$13,"Secure",'Verified Matrix'!$J$2:$J$13,"TN")</f>
        <v>1</v>
      </c>
      <c r="E9" s="8" t="n">
        <f aca="false">COUNTIFS('Verified Matrix'!$D$2:$D$13,"Secure",'Verified Matrix'!$L$2:$L$13,"TN")</f>
        <v>0</v>
      </c>
      <c r="F9" s="8" t="s">
        <v>168</v>
      </c>
    </row>
    <row r="10" customFormat="false" ht="15" hidden="false" customHeight="true" outlineLevel="0" collapsed="false">
      <c r="A10" s="8" t="s">
        <v>169</v>
      </c>
      <c r="B10" s="8" t="n">
        <f aca="false">COUNTIFS('Verified Matrix'!$D$2:$D$13,"Secure",'Verified Matrix'!$F$2:$F$13,"UNVERIFIED")</f>
        <v>0</v>
      </c>
      <c r="C10" s="8" t="n">
        <f aca="false">COUNTIFS('Verified Matrix'!$D$2:$D$13,"Secure",'Verified Matrix'!$H$2:$H$13,"UNVERIFIED")</f>
        <v>0</v>
      </c>
      <c r="D10" s="8" t="n">
        <f aca="false">COUNTIFS('Verified Matrix'!$D$2:$D$13,"Secure",'Verified Matrix'!$J$2:$J$13,"UNVERIFIED")</f>
        <v>0</v>
      </c>
      <c r="E10" s="8" t="n">
        <f aca="false">COUNTIFS('Verified Matrix'!$D$2:$D$13,"Secure",'Verified Matrix'!$L$2:$L$13,"UNVERIFIED")</f>
        <v>1</v>
      </c>
      <c r="F10" s="8" t="s">
        <v>170</v>
      </c>
    </row>
    <row r="11" customFormat="false" ht="15" hidden="false" customHeight="true" outlineLevel="0" collapsed="false">
      <c r="A11" s="8" t="s">
        <v>171</v>
      </c>
      <c r="B11" s="8" t="n">
        <f aca="false">COUNTIFS('Verified Matrix'!$D$2:$D$13,"Legitimate",'Verified Matrix'!$F$2:$F$13,"TN")</f>
        <v>1</v>
      </c>
      <c r="C11" s="8" t="n">
        <f aca="false">COUNTIFS('Verified Matrix'!$D$2:$D$13,"Legitimate",'Verified Matrix'!$H$2:$H$13,"TN")</f>
        <v>0</v>
      </c>
      <c r="D11" s="8" t="n">
        <f aca="false">COUNTIFS('Verified Matrix'!$D$2:$D$13,"Legitimate",'Verified Matrix'!$J$2:$J$13,"TN")</f>
        <v>0</v>
      </c>
      <c r="E11" s="8" t="n">
        <f aca="false">COUNTIFS('Verified Matrix'!$D$2:$D$13,"Legitimate",'Verified Matrix'!$L$2:$L$13,"TN")</f>
        <v>0</v>
      </c>
      <c r="F11" s="8" t="s">
        <v>168</v>
      </c>
    </row>
    <row r="12" customFormat="false" ht="26.25" hidden="false" customHeight="true" outlineLevel="0" collapsed="false">
      <c r="A12" s="8" t="s">
        <v>172</v>
      </c>
      <c r="B12" s="8" t="n">
        <f aca="false">COUNTIFS('Verified Matrix'!$D$2:$D$13,"Legitimate",'Verified Matrix'!$F$2:$F$13,"CONTEXT")</f>
        <v>0</v>
      </c>
      <c r="C12" s="8" t="n">
        <f aca="false">COUNTIFS('Verified Matrix'!$D$2:$D$13,"Legitimate",'Verified Matrix'!$H$2:$H$13,"CONTEXT")</f>
        <v>1</v>
      </c>
      <c r="D12" s="8" t="n">
        <f aca="false">COUNTIFS('Verified Matrix'!$D$2:$D$13,"Legitimate",'Verified Matrix'!$J$2:$J$13,"CONTEXT")</f>
        <v>1</v>
      </c>
      <c r="E12" s="8" t="n">
        <f aca="false">COUNTIFS('Verified Matrix'!$D$2:$D$13,"Legitimate",'Verified Matrix'!$L$2:$L$13,"CONTEXT")</f>
        <v>1</v>
      </c>
      <c r="F12" s="8" t="s">
        <v>173</v>
      </c>
    </row>
    <row r="15" customFormat="false" ht="15" hidden="false" customHeight="true" outlineLevel="0" collapsed="false">
      <c r="A15" s="5" t="s">
        <v>174</v>
      </c>
    </row>
    <row r="16" customFormat="false" ht="15" hidden="false" customHeight="true" outlineLevel="0" collapsed="false">
      <c r="A16" s="8" t="s">
        <v>175</v>
      </c>
      <c r="B16" s="8" t="n">
        <f aca="false">SUMPRODUCT(('Verified Matrix'!$D$2:$D$13="Vulnerable")*((('Verified Matrix'!$F$2:$F$13="TP")+('Verified Matrix'!$H$2:$H$13="TP"))&gt;0))</f>
        <v>8</v>
      </c>
      <c r="C16" s="8"/>
      <c r="D16" s="8"/>
      <c r="E16" s="8"/>
      <c r="F16" s="8" t="s">
        <v>176</v>
      </c>
    </row>
    <row r="17" customFormat="false" ht="26.25" hidden="false" customHeight="true" outlineLevel="0" collapsed="false">
      <c r="A17" s="8" t="s">
        <v>177</v>
      </c>
      <c r="B17" s="8" t="n">
        <f aca="false">SUMPRODUCT(('Verified Matrix'!$D$2:$D$13="Vulnerable")*('Verified Matrix'!$J$2:$J$13="TP")*('Verified Matrix'!$F$2:$F$13&lt;&gt;"TP")*('Verified Matrix'!$H$2:$H$13&lt;&gt;"TP"))</f>
        <v>1</v>
      </c>
      <c r="C17" s="8"/>
      <c r="D17" s="8"/>
      <c r="E17" s="8"/>
      <c r="F17" s="8" t="s">
        <v>178</v>
      </c>
    </row>
    <row r="18" customFormat="false" ht="26.25" hidden="false" customHeight="true" outlineLevel="0" collapsed="false">
      <c r="A18" s="8" t="s">
        <v>179</v>
      </c>
      <c r="B18" s="8" t="n">
        <f aca="false">SUMPRODUCT(('Verified Matrix'!$D$2:$D$13="Vulnerable")*(((('Verified Matrix'!$F$2:$F$13="TP")+('Verified Matrix'!$H$2:$H$13="TP"))&gt;0))*('Verified Matrix'!$J$2:$J$13&lt;&gt;"TP"))</f>
        <v>0</v>
      </c>
      <c r="C18" s="8"/>
      <c r="D18" s="8"/>
      <c r="E18" s="8"/>
      <c r="F18" s="8" t="s">
        <v>180</v>
      </c>
    </row>
    <row r="19" customFormat="false" ht="15" hidden="false" customHeight="true" outlineLevel="0" collapsed="false">
      <c r="A19" s="8" t="s">
        <v>181</v>
      </c>
      <c r="B19" s="8" t="n">
        <f aca="false">SUMPRODUCT(('Verified Matrix'!$D$2:$D$13="Vulnerable")*('Verified Matrix'!$F$2:$F$13&lt;&gt;"TP")*('Verified Matrix'!$H$2:$H$13&lt;&gt;"TP")*('Verified Matrix'!$J$2:$J$13&lt;&gt;"TP")*('Verified Matrix'!$J$2:$J$13&lt;&gt;"PARTIAL"))</f>
        <v>0</v>
      </c>
      <c r="C19" s="8"/>
      <c r="D19" s="8"/>
      <c r="E19" s="8"/>
      <c r="F19" s="8"/>
    </row>
    <row r="21" customFormat="false" ht="15" hidden="false" customHeight="true" outlineLevel="0" collapsed="false">
      <c r="A21" s="15" t="s">
        <v>182</v>
      </c>
      <c r="B21" s="15"/>
      <c r="C21" s="15"/>
      <c r="D21" s="15"/>
      <c r="E21" s="15"/>
      <c r="F21" s="15"/>
    </row>
    <row r="22" customFormat="false" ht="15" hidden="false" customHeight="true" outlineLevel="0" collapsed="false">
      <c r="A22" s="15"/>
      <c r="B22" s="15"/>
      <c r="C22" s="15"/>
      <c r="D22" s="15"/>
      <c r="E22" s="15"/>
      <c r="F22" s="15"/>
    </row>
  </sheetData>
  <mergeCells count="1">
    <mergeCell ref="A21:F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3"/>
    <col collapsed="false" customWidth="true" hidden="false" outlineLevel="0" max="4" min="3" style="1" width="11"/>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60"/>
  </cols>
  <sheetData>
    <row r="1" customFormat="false" ht="17.25" hidden="false" customHeight="true" outlineLevel="0" collapsed="false">
      <c r="A1" s="13" t="s">
        <v>183</v>
      </c>
    </row>
    <row r="2" customFormat="false" ht="45" hidden="false" customHeight="true" outlineLevel="0" collapsed="false">
      <c r="A2" s="16" t="s">
        <v>184</v>
      </c>
      <c r="B2" s="16"/>
      <c r="C2" s="16"/>
      <c r="D2" s="16"/>
      <c r="E2" s="16"/>
      <c r="F2" s="16"/>
      <c r="G2" s="16"/>
      <c r="H2" s="16"/>
    </row>
    <row r="4" customFormat="false" ht="26.25" hidden="false" customHeight="true" outlineLevel="0" collapsed="false">
      <c r="A4" s="17" t="s">
        <v>185</v>
      </c>
      <c r="B4" s="17" t="s">
        <v>20</v>
      </c>
      <c r="C4" s="17" t="s">
        <v>153</v>
      </c>
      <c r="D4" s="17" t="s">
        <v>154</v>
      </c>
      <c r="E4" s="17" t="s">
        <v>176</v>
      </c>
      <c r="F4" s="17" t="s">
        <v>155</v>
      </c>
      <c r="G4" s="17" t="s">
        <v>186</v>
      </c>
      <c r="H4" s="17" t="s">
        <v>187</v>
      </c>
    </row>
    <row r="5" customFormat="false" ht="15" hidden="false" customHeight="true" outlineLevel="0" collapsed="false">
      <c r="A5" s="18" t="str">
        <f aca="false">'Verified Matrix'!A2</f>
        <v>TC01</v>
      </c>
      <c r="B5" s="18" t="str">
        <f aca="false">'Verified Matrix'!D2</f>
        <v>Secure</v>
      </c>
      <c r="C5" s="18" t="str">
        <f aca="false">'Verified Matrix'!F2</f>
        <v>TN</v>
      </c>
      <c r="D5" s="18" t="str">
        <f aca="false">'Verified Matrix'!H2</f>
        <v>TN</v>
      </c>
      <c r="E5" s="19" t="str">
        <f aca="false">IF(OR(C5="TP",D5="TP"),"TP",IF(B5="Vulnerable","FN",IF(OR(C5="CONTEXT",D5="CONTEXT"),"CONTEXT",IF(OR(C5="FP",D5="FP"),"FP","TN"))))</f>
        <v>TN</v>
      </c>
      <c r="F5" s="18" t="str">
        <f aca="false">'Verified Matrix'!J2</f>
        <v>TN</v>
      </c>
      <c r="G5" s="20" t="s">
        <v>188</v>
      </c>
      <c r="H5" s="21" t="s">
        <v>189</v>
      </c>
    </row>
    <row r="6" customFormat="false" ht="15" hidden="false" customHeight="true" outlineLevel="0" collapsed="false">
      <c r="A6" s="18" t="str">
        <f aca="false">'Verified Matrix'!A3</f>
        <v>TC02</v>
      </c>
      <c r="B6" s="18" t="str">
        <f aca="false">'Verified Matrix'!D3</f>
        <v>Vulnerable</v>
      </c>
      <c r="C6" s="18" t="str">
        <f aca="false">'Verified Matrix'!F3</f>
        <v>FN</v>
      </c>
      <c r="D6" s="18" t="str">
        <f aca="false">'Verified Matrix'!H3</f>
        <v>TP</v>
      </c>
      <c r="E6" s="19" t="str">
        <f aca="false">IF(OR(C6="TP",D6="TP"),"TP",IF(B6="Vulnerable","FN",IF(OR(C6="CONTEXT",D6="CONTEXT"),"CONTEXT",IF(OR(C6="FP",D6="FP"),"FP","TN"))))</f>
        <v>TP</v>
      </c>
      <c r="F6" s="18" t="str">
        <f aca="false">'Verified Matrix'!J3</f>
        <v>TP</v>
      </c>
      <c r="G6" s="20" t="s">
        <v>188</v>
      </c>
      <c r="H6" s="21"/>
    </row>
    <row r="7" customFormat="false" ht="15" hidden="false" customHeight="true" outlineLevel="0" collapsed="false">
      <c r="A7" s="18" t="str">
        <f aca="false">'Verified Matrix'!A4</f>
        <v>TC03</v>
      </c>
      <c r="B7" s="18" t="str">
        <f aca="false">'Verified Matrix'!D4</f>
        <v>Vulnerable</v>
      </c>
      <c r="C7" s="18" t="str">
        <f aca="false">'Verified Matrix'!F4</f>
        <v>FN</v>
      </c>
      <c r="D7" s="18" t="str">
        <f aca="false">'Verified Matrix'!H4</f>
        <v>TP</v>
      </c>
      <c r="E7" s="19" t="str">
        <f aca="false">IF(OR(C7="TP",D7="TP"),"TP",IF(B7="Vulnerable","FN",IF(OR(C7="CONTEXT",D7="CONTEXT"),"CONTEXT",IF(OR(C7="FP",D7="FP"),"FP","TN"))))</f>
        <v>TP</v>
      </c>
      <c r="F7" s="18" t="str">
        <f aca="false">'Verified Matrix'!J4</f>
        <v>TP</v>
      </c>
      <c r="G7" s="20" t="s">
        <v>188</v>
      </c>
      <c r="H7" s="21"/>
    </row>
    <row r="8" customFormat="false" ht="15" hidden="false" customHeight="true" outlineLevel="0" collapsed="false">
      <c r="A8" s="18" t="str">
        <f aca="false">'Verified Matrix'!A5</f>
        <v>TC04</v>
      </c>
      <c r="B8" s="18" t="str">
        <f aca="false">'Verified Matrix'!D5</f>
        <v>Vulnerable</v>
      </c>
      <c r="C8" s="18" t="str">
        <f aca="false">'Verified Matrix'!F5</f>
        <v>FN</v>
      </c>
      <c r="D8" s="18" t="str">
        <f aca="false">'Verified Matrix'!H5</f>
        <v>TP</v>
      </c>
      <c r="E8" s="19" t="str">
        <f aca="false">IF(OR(C8="TP",D8="TP"),"TP",IF(B8="Vulnerable","FN",IF(OR(C8="CONTEXT",D8="CONTEXT"),"CONTEXT",IF(OR(C8="FP",D8="FP"),"FP","TN"))))</f>
        <v>TP</v>
      </c>
      <c r="F8" s="18" t="str">
        <f aca="false">'Verified Matrix'!J5</f>
        <v>TP</v>
      </c>
      <c r="G8" s="20" t="s">
        <v>188</v>
      </c>
      <c r="H8" s="21"/>
    </row>
    <row r="9" customFormat="false" ht="15" hidden="false" customHeight="true" outlineLevel="0" collapsed="false">
      <c r="A9" s="18" t="str">
        <f aca="false">'Verified Matrix'!A6</f>
        <v>TC05</v>
      </c>
      <c r="B9" s="18" t="str">
        <f aca="false">'Verified Matrix'!D6</f>
        <v>Vulnerable</v>
      </c>
      <c r="C9" s="18" t="str">
        <f aca="false">'Verified Matrix'!F6</f>
        <v>TP</v>
      </c>
      <c r="D9" s="18" t="str">
        <f aca="false">'Verified Matrix'!H6</f>
        <v>FN</v>
      </c>
      <c r="E9" s="19" t="str">
        <f aca="false">IF(OR(C9="TP",D9="TP"),"TP",IF(B9="Vulnerable","FN",IF(OR(C9="CONTEXT",D9="CONTEXT"),"CONTEXT",IF(OR(C9="FP",D9="FP"),"FP","TN"))))</f>
        <v>TP</v>
      </c>
      <c r="F9" s="18" t="str">
        <f aca="false">'Verified Matrix'!J6</f>
        <v>TP</v>
      </c>
      <c r="G9" s="20" t="s">
        <v>188</v>
      </c>
      <c r="H9" s="21"/>
    </row>
    <row r="10" customFormat="false" ht="15" hidden="false" customHeight="true" outlineLevel="0" collapsed="false">
      <c r="A10" s="18" t="str">
        <f aca="false">'Verified Matrix'!A7</f>
        <v>TC06</v>
      </c>
      <c r="B10" s="18" t="str">
        <f aca="false">'Verified Matrix'!D7</f>
        <v>Vulnerable</v>
      </c>
      <c r="C10" s="18" t="str">
        <f aca="false">'Verified Matrix'!F7</f>
        <v>TP</v>
      </c>
      <c r="D10" s="18" t="str">
        <f aca="false">'Verified Matrix'!H7</f>
        <v>FN</v>
      </c>
      <c r="E10" s="19" t="str">
        <f aca="false">IF(OR(C10="TP",D10="TP"),"TP",IF(B10="Vulnerable","FN",IF(OR(C10="CONTEXT",D10="CONTEXT"),"CONTEXT",IF(OR(C10="FP",D10="FP"),"FP","TN"))))</f>
        <v>TP</v>
      </c>
      <c r="F10" s="18" t="str">
        <f aca="false">'Verified Matrix'!J7</f>
        <v>TP</v>
      </c>
      <c r="G10" s="20" t="s">
        <v>188</v>
      </c>
      <c r="H10" s="21"/>
    </row>
    <row r="11" customFormat="false" ht="15" hidden="false" customHeight="true" outlineLevel="0" collapsed="false">
      <c r="A11" s="18" t="str">
        <f aca="false">'Verified Matrix'!A8</f>
        <v>TC07</v>
      </c>
      <c r="B11" s="18" t="str">
        <f aca="false">'Verified Matrix'!D8</f>
        <v>Vulnerable</v>
      </c>
      <c r="C11" s="18" t="str">
        <f aca="false">'Verified Matrix'!F8</f>
        <v>TP</v>
      </c>
      <c r="D11" s="18" t="str">
        <f aca="false">'Verified Matrix'!H8</f>
        <v>TP</v>
      </c>
      <c r="E11" s="19" t="str">
        <f aca="false">IF(OR(C11="TP",D11="TP"),"TP",IF(B11="Vulnerable","FN",IF(OR(C11="CONTEXT",D11="CONTEXT"),"CONTEXT",IF(OR(C11="FP",D11="FP"),"FP","TN"))))</f>
        <v>TP</v>
      </c>
      <c r="F11" s="18" t="str">
        <f aca="false">'Verified Matrix'!J8</f>
        <v>TP</v>
      </c>
      <c r="G11" s="20" t="s">
        <v>188</v>
      </c>
      <c r="H11" s="21"/>
    </row>
    <row r="12" customFormat="false" ht="15" hidden="false" customHeight="true" outlineLevel="0" collapsed="false">
      <c r="A12" s="18" t="str">
        <f aca="false">'Verified Matrix'!A9</f>
        <v>TC08</v>
      </c>
      <c r="B12" s="18" t="str">
        <f aca="false">'Verified Matrix'!D9</f>
        <v>Vulnerable</v>
      </c>
      <c r="C12" s="18" t="str">
        <f aca="false">'Verified Matrix'!F9</f>
        <v>FN</v>
      </c>
      <c r="D12" s="18" t="str">
        <f aca="false">'Verified Matrix'!H9</f>
        <v>FN</v>
      </c>
      <c r="E12" s="19" t="str">
        <f aca="false">IF(OR(C12="TP",D12="TP"),"TP",IF(B12="Vulnerable","FN",IF(OR(C12="CONTEXT",D12="CONTEXT"),"CONTEXT",IF(OR(C12="FP",D12="FP"),"FP","TN"))))</f>
        <v>FN</v>
      </c>
      <c r="F12" s="18" t="str">
        <f aca="false">'Verified Matrix'!J9</f>
        <v>PARTIAL</v>
      </c>
      <c r="G12" s="20" t="s">
        <v>188</v>
      </c>
      <c r="H12" s="21" t="s">
        <v>190</v>
      </c>
    </row>
    <row r="13" customFormat="false" ht="15" hidden="false" customHeight="true" outlineLevel="0" collapsed="false">
      <c r="A13" s="18" t="str">
        <f aca="false">'Verified Matrix'!A10</f>
        <v>TC09</v>
      </c>
      <c r="B13" s="18" t="str">
        <f aca="false">'Verified Matrix'!D10</f>
        <v>Vulnerable</v>
      </c>
      <c r="C13" s="18" t="str">
        <f aca="false">'Verified Matrix'!F10</f>
        <v>FN</v>
      </c>
      <c r="D13" s="18" t="str">
        <f aca="false">'Verified Matrix'!H10</f>
        <v>FN</v>
      </c>
      <c r="E13" s="19" t="str">
        <f aca="false">IF(OR(C13="TP",D13="TP"),"TP",IF(B13="Vulnerable","FN",IF(OR(C13="CONTEXT",D13="CONTEXT"),"CONTEXT",IF(OR(C13="FP",D13="FP"),"FP","TN"))))</f>
        <v>FN</v>
      </c>
      <c r="F13" s="18" t="str">
        <f aca="false">'Verified Matrix'!J10</f>
        <v>TP</v>
      </c>
      <c r="G13" s="20" t="s">
        <v>188</v>
      </c>
      <c r="H13" s="21" t="s">
        <v>191</v>
      </c>
    </row>
    <row r="14" customFormat="false" ht="15" hidden="false" customHeight="true" outlineLevel="0" collapsed="false">
      <c r="A14" s="18" t="str">
        <f aca="false">'Verified Matrix'!A11</f>
        <v>TC10</v>
      </c>
      <c r="B14" s="18" t="str">
        <f aca="false">'Verified Matrix'!D11</f>
        <v>Vulnerable</v>
      </c>
      <c r="C14" s="18" t="str">
        <f aca="false">'Verified Matrix'!F11</f>
        <v>TP</v>
      </c>
      <c r="D14" s="18" t="str">
        <f aca="false">'Verified Matrix'!H11</f>
        <v>FN</v>
      </c>
      <c r="E14" s="19" t="str">
        <f aca="false">IF(OR(C14="TP",D14="TP"),"TP",IF(B14="Vulnerable","FN",IF(OR(C14="CONTEXT",D14="CONTEXT"),"CONTEXT",IF(OR(C14="FP",D14="FP"),"FP","TN"))))</f>
        <v>TP</v>
      </c>
      <c r="F14" s="18" t="str">
        <f aca="false">'Verified Matrix'!J11</f>
        <v>TP</v>
      </c>
      <c r="G14" s="20" t="s">
        <v>188</v>
      </c>
      <c r="H14" s="21"/>
    </row>
    <row r="15" customFormat="false" ht="15" hidden="false" customHeight="true" outlineLevel="0" collapsed="false">
      <c r="A15" s="18" t="str">
        <f aca="false">'Verified Matrix'!A12</f>
        <v>TC11</v>
      </c>
      <c r="B15" s="18" t="str">
        <f aca="false">'Verified Matrix'!D12</f>
        <v>Vulnerable</v>
      </c>
      <c r="C15" s="18" t="str">
        <f aca="false">'Verified Matrix'!F12</f>
        <v>TP</v>
      </c>
      <c r="D15" s="18" t="str">
        <f aca="false">'Verified Matrix'!H12</f>
        <v>FN</v>
      </c>
      <c r="E15" s="19" t="str">
        <f aca="false">IF(OR(C15="TP",D15="TP"),"TP",IF(B15="Vulnerable","FN",IF(OR(C15="CONTEXT",D15="CONTEXT"),"CONTEXT",IF(OR(C15="FP",D15="FP"),"FP","TN"))))</f>
        <v>TP</v>
      </c>
      <c r="F15" s="18" t="str">
        <f aca="false">'Verified Matrix'!J12</f>
        <v>TP</v>
      </c>
      <c r="G15" s="20" t="s">
        <v>188</v>
      </c>
      <c r="H15" s="21" t="s">
        <v>192</v>
      </c>
    </row>
    <row r="16" customFormat="false" ht="15" hidden="false" customHeight="true" outlineLevel="0" collapsed="false">
      <c r="A16" s="18" t="str">
        <f aca="false">'Verified Matrix'!A13</f>
        <v>TC12</v>
      </c>
      <c r="B16" s="18" t="str">
        <f aca="false">'Verified Matrix'!D13</f>
        <v>Legitimate</v>
      </c>
      <c r="C16" s="18" t="str">
        <f aca="false">'Verified Matrix'!F13</f>
        <v>TN</v>
      </c>
      <c r="D16" s="18" t="str">
        <f aca="false">'Verified Matrix'!H13</f>
        <v>CONTEXT</v>
      </c>
      <c r="E16" s="19" t="str">
        <f aca="false">IF(OR(C16="TP",D16="TP"),"TP",IF(B16="Vulnerable","FN",IF(OR(C16="CONTEXT",D16="CONTEXT"),"CONTEXT",IF(OR(C16="FP",D16="FP"),"FP","TN"))))</f>
        <v>CONTEXT</v>
      </c>
      <c r="F16" s="18" t="str">
        <f aca="false">'Verified Matrix'!J13</f>
        <v>CONTEXT</v>
      </c>
      <c r="G16" s="20" t="s">
        <v>188</v>
      </c>
      <c r="H16" s="21" t="s">
        <v>193</v>
      </c>
    </row>
    <row r="17" customFormat="false" ht="26.25" hidden="false" customHeight="true" outlineLevel="0" collapsed="false">
      <c r="A17" s="22" t="s">
        <v>194</v>
      </c>
      <c r="B17" s="22" t="s">
        <v>48</v>
      </c>
      <c r="C17" s="22" t="s">
        <v>50</v>
      </c>
      <c r="D17" s="22" t="s">
        <v>50</v>
      </c>
      <c r="E17" s="19" t="str">
        <f aca="false">IF(OR(C17="TP",D17="TP"),"TP",IF(B17="Vulnerable","FN",IF(OR(C17="CONTEXT",D17="CONTEXT"),"CONTEXT",IF(OR(C17="FP",D17="FP"),"FP","TN"))))</f>
        <v>FN</v>
      </c>
      <c r="F17" s="22" t="s">
        <v>52</v>
      </c>
      <c r="G17" s="20" t="s">
        <v>188</v>
      </c>
      <c r="H17" s="8" t="s">
        <v>195</v>
      </c>
    </row>
    <row r="18" customFormat="false" ht="39" hidden="false" customHeight="true" outlineLevel="0" collapsed="false">
      <c r="A18" s="22" t="s">
        <v>196</v>
      </c>
      <c r="B18" s="22" t="s">
        <v>35</v>
      </c>
      <c r="C18" s="22" t="s">
        <v>37</v>
      </c>
      <c r="D18" s="22" t="s">
        <v>37</v>
      </c>
      <c r="E18" s="19" t="str">
        <f aca="false">IF(OR(C18="TP",D18="TP"),"TP",IF(B18="Vulnerable","FN",IF(OR(C18="CONTEXT",D18="CONTEXT"),"CONTEXT",IF(OR(C18="FP",D18="FP"),"FP","TN"))))</f>
        <v>TN</v>
      </c>
      <c r="F18" s="22" t="s">
        <v>37</v>
      </c>
      <c r="G18" s="20" t="s">
        <v>188</v>
      </c>
      <c r="H18" s="8" t="s">
        <v>197</v>
      </c>
    </row>
    <row r="19" customFormat="false" ht="26.25" hidden="false" customHeight="true" outlineLevel="0" collapsed="false">
      <c r="A19" s="22" t="s">
        <v>198</v>
      </c>
      <c r="B19" s="22" t="s">
        <v>48</v>
      </c>
      <c r="C19" s="22" t="s">
        <v>50</v>
      </c>
      <c r="D19" s="22" t="s">
        <v>50</v>
      </c>
      <c r="E19" s="19" t="str">
        <f aca="false">IF(OR(C19="TP",D19="TP"),"TP",IF(B19="Vulnerable","FN",IF(OR(C19="CONTEXT",D19="CONTEXT"),"CONTEXT",IF(OR(C19="FP",D19="FP"),"FP","TN"))))</f>
        <v>FN</v>
      </c>
      <c r="F19" s="22" t="s">
        <v>52</v>
      </c>
      <c r="G19" s="20" t="s">
        <v>188</v>
      </c>
      <c r="H19" s="8" t="s">
        <v>199</v>
      </c>
    </row>
    <row r="22" customFormat="false" ht="17.25" hidden="false" customHeight="true" outlineLevel="0" collapsed="false">
      <c r="A22" s="13" t="s">
        <v>200</v>
      </c>
    </row>
    <row r="23" customFormat="false" ht="26.25" hidden="false" customHeight="true" outlineLevel="0" collapsed="false">
      <c r="A23" s="17" t="s">
        <v>152</v>
      </c>
      <c r="B23" s="17"/>
      <c r="C23" s="17" t="s">
        <v>153</v>
      </c>
      <c r="D23" s="17" t="s">
        <v>154</v>
      </c>
      <c r="E23" s="17" t="s">
        <v>176</v>
      </c>
      <c r="F23" s="17" t="s">
        <v>155</v>
      </c>
      <c r="G23" s="17"/>
      <c r="H23" s="17" t="s">
        <v>201</v>
      </c>
    </row>
    <row r="24" customFormat="false" ht="15" hidden="false" customHeight="true" outlineLevel="0" collapsed="false">
      <c r="A24" s="5" t="s">
        <v>202</v>
      </c>
      <c r="C24" s="1" t="n">
        <f aca="false">COUNTIF($B$5:$B$16,"Vulnerable")</f>
        <v>10</v>
      </c>
      <c r="D24" s="1" t="n">
        <f aca="false">COUNTIF($B$5:$B$16,"Vulnerable")</f>
        <v>10</v>
      </c>
      <c r="E24" s="1" t="n">
        <f aca="false">COUNTIF($B$5:$B$16,"Vulnerable")</f>
        <v>10</v>
      </c>
      <c r="F24" s="1" t="n">
        <f aca="false">COUNTIF($B$5:$B$16,"Vulnerable")</f>
        <v>10</v>
      </c>
      <c r="H24" s="23" t="s">
        <v>203</v>
      </c>
    </row>
    <row r="25" customFormat="false" ht="15" hidden="false" customHeight="true" outlineLevel="0" collapsed="false">
      <c r="A25" s="5" t="s">
        <v>204</v>
      </c>
      <c r="C25" s="1" t="n">
        <f aca="false">COUNTIFS($B$5:$B$16,"Vulnerable",C$5:C$16,"TP")</f>
        <v>5</v>
      </c>
      <c r="D25" s="1" t="n">
        <f aca="false">COUNTIFS($B$5:$B$16,"Vulnerable",D$5:D$16,"TP")</f>
        <v>4</v>
      </c>
      <c r="E25" s="1" t="n">
        <f aca="false">COUNTIFS($B$5:$B$16,"Vulnerable",E$5:E$16,"TP")</f>
        <v>8</v>
      </c>
      <c r="F25" s="1" t="n">
        <f aca="false">COUNTIFS($B$5:$B$16,"Vulnerable",F$5:F$16,"TP")</f>
        <v>9</v>
      </c>
      <c r="H25" s="23" t="s">
        <v>205</v>
      </c>
    </row>
    <row r="26" customFormat="false" ht="15" hidden="false" customHeight="true" outlineLevel="0" collapsed="false">
      <c r="A26" s="5" t="s">
        <v>206</v>
      </c>
      <c r="C26" s="1" t="n">
        <f aca="false">COUNTIFS($B$5:$B$16,"Vulnerable",C$5:C$16,"PARTIAL")</f>
        <v>0</v>
      </c>
      <c r="D26" s="1" t="n">
        <f aca="false">COUNTIFS($B$5:$B$16,"Vulnerable",D$5:D$16,"PARTIAL")</f>
        <v>0</v>
      </c>
      <c r="E26" s="1" t="n">
        <f aca="false">COUNTIFS($B$5:$B$16,"Vulnerable",E$5:E$16,"PARTIAL")</f>
        <v>0</v>
      </c>
      <c r="F26" s="1" t="n">
        <f aca="false">COUNTIFS($B$5:$B$16,"Vulnerable",F$5:F$16,"PARTIAL")</f>
        <v>1</v>
      </c>
      <c r="H26" s="23" t="s">
        <v>207</v>
      </c>
    </row>
    <row r="27" customFormat="false" ht="15" hidden="false" customHeight="true" outlineLevel="0" collapsed="false">
      <c r="A27" s="5" t="s">
        <v>208</v>
      </c>
      <c r="C27" s="1" t="n">
        <f aca="false">COUNTIFS($B$5:$B$16,"Vulnerable",C$5:C$16,"FN")</f>
        <v>5</v>
      </c>
      <c r="D27" s="1" t="n">
        <f aca="false">COUNTIFS($B$5:$B$16,"Vulnerable",D$5:D$16,"FN")</f>
        <v>6</v>
      </c>
      <c r="E27" s="1" t="n">
        <f aca="false">COUNTIFS($B$5:$B$16,"Vulnerable",E$5:E$16,"FN")</f>
        <v>2</v>
      </c>
      <c r="F27" s="1" t="n">
        <f aca="false">COUNTIFS($B$5:$B$16,"Vulnerable",F$5:F$16,"FN")</f>
        <v>0</v>
      </c>
      <c r="H27" s="23"/>
    </row>
    <row r="28" customFormat="false" ht="15" hidden="false" customHeight="true" outlineLevel="0" collapsed="false">
      <c r="A28" s="5" t="s">
        <v>209</v>
      </c>
      <c r="C28" s="24" t="n">
        <f aca="false">IFERROR(C25/C24,0)</f>
        <v>0.5</v>
      </c>
      <c r="D28" s="24" t="n">
        <f aca="false">IFERROR(D25/D24,0)</f>
        <v>0.4</v>
      </c>
      <c r="E28" s="24" t="n">
        <f aca="false">IFERROR(E25/E24,0)</f>
        <v>0.8</v>
      </c>
      <c r="F28" s="24" t="n">
        <f aca="false">IFERROR(F25/F24,0)</f>
        <v>0.9</v>
      </c>
      <c r="H28" s="23" t="s">
        <v>210</v>
      </c>
    </row>
    <row r="29" customFormat="false" ht="15" hidden="false" customHeight="true" outlineLevel="0" collapsed="false">
      <c r="A29" s="5" t="s">
        <v>211</v>
      </c>
      <c r="C29" s="24" t="n">
        <f aca="false">IFERROR((C25+C26)/C24,0)</f>
        <v>0.5</v>
      </c>
      <c r="D29" s="24" t="n">
        <f aca="false">IFERROR((D25+D26)/D24,0)</f>
        <v>0.4</v>
      </c>
      <c r="E29" s="24" t="n">
        <f aca="false">IFERROR((E25+E26)/E24,0)</f>
        <v>0.8</v>
      </c>
      <c r="F29" s="24" t="n">
        <f aca="false">IFERROR((F25+F26)/F24,0)</f>
        <v>1</v>
      </c>
      <c r="H29" s="23" t="s">
        <v>212</v>
      </c>
    </row>
    <row r="30" customFormat="false" ht="15" hidden="false" customHeight="true" outlineLevel="0" collapsed="false">
      <c r="A30" s="5" t="s">
        <v>213</v>
      </c>
      <c r="C30" s="1" t="n">
        <f aca="false">COUNTIF($B$5:$B$16,"&lt;&gt;Vulnerable")</f>
        <v>2</v>
      </c>
      <c r="D30" s="1" t="n">
        <f aca="false">COUNTIF($B$5:$B$16,"&lt;&gt;Vulnerable")</f>
        <v>2</v>
      </c>
      <c r="E30" s="1" t="n">
        <f aca="false">COUNTIF($B$5:$B$16,"&lt;&gt;Vulnerable")</f>
        <v>2</v>
      </c>
      <c r="F30" s="1" t="n">
        <f aca="false">COUNTIF($B$5:$B$16,"&lt;&gt;Vulnerable")</f>
        <v>2</v>
      </c>
      <c r="H30" s="23" t="s">
        <v>214</v>
      </c>
    </row>
    <row r="31" customFormat="false" ht="15" hidden="false" customHeight="true" outlineLevel="0" collapsed="false">
      <c r="A31" s="5" t="s">
        <v>215</v>
      </c>
      <c r="C31" s="1" t="n">
        <f aca="false">COUNTIFS($B$5:$B$16,"&lt;&gt;Vulnerable",C$5:C$16,"TN")</f>
        <v>2</v>
      </c>
      <c r="D31" s="1" t="n">
        <f aca="false">COUNTIFS($B$5:$B$16,"&lt;&gt;Vulnerable",D$5:D$16,"TN")</f>
        <v>1</v>
      </c>
      <c r="E31" s="1" t="n">
        <f aca="false">COUNTIFS($B$5:$B$16,"&lt;&gt;Vulnerable",E$5:E$16,"TN")</f>
        <v>1</v>
      </c>
      <c r="F31" s="1" t="n">
        <f aca="false">COUNTIFS($B$5:$B$16,"&lt;&gt;Vulnerable",F$5:F$16,"TN")</f>
        <v>1</v>
      </c>
      <c r="H31" s="23"/>
    </row>
    <row r="32" customFormat="false" ht="15" hidden="false" customHeight="true" outlineLevel="0" collapsed="false">
      <c r="A32" s="5" t="s">
        <v>216</v>
      </c>
      <c r="C32" s="1" t="n">
        <f aca="false">COUNTIFS($B$5:$B$16,"&lt;&gt;Vulnerable",C$5:C$16,"FP")+COUNTIFS($B$5:$B$16,"&lt;&gt;Vulnerable",C$5:C$16,"CONTEXT")</f>
        <v>0</v>
      </c>
      <c r="D32" s="1" t="n">
        <f aca="false">COUNTIFS($B$5:$B$16,"&lt;&gt;Vulnerable",D$5:D$16,"FP")+COUNTIFS($B$5:$B$16,"&lt;&gt;Vulnerable",D$5:D$16,"CONTEXT")</f>
        <v>1</v>
      </c>
      <c r="E32" s="1" t="n">
        <f aca="false">COUNTIFS($B$5:$B$16,"&lt;&gt;Vulnerable",E$5:E$16,"FP")+COUNTIFS($B$5:$B$16,"&lt;&gt;Vulnerable",E$5:E$16,"CONTEXT")</f>
        <v>1</v>
      </c>
      <c r="F32" s="1" t="n">
        <f aca="false">COUNTIFS($B$5:$B$16,"&lt;&gt;Vulnerable",F$5:F$16,"FP")+COUNTIFS($B$5:$B$16,"&lt;&gt;Vulnerable",F$5:F$16,"CONTEXT")</f>
        <v>1</v>
      </c>
      <c r="H32" s="23" t="s">
        <v>217</v>
      </c>
    </row>
    <row r="35" customFormat="false" ht="17.25" hidden="false" customHeight="true" outlineLevel="0" collapsed="false">
      <c r="A35" s="13" t="s">
        <v>218</v>
      </c>
    </row>
    <row r="36" customFormat="false" ht="26.25" hidden="false" customHeight="true" outlineLevel="0" collapsed="false">
      <c r="A36" s="17" t="s">
        <v>152</v>
      </c>
      <c r="B36" s="17"/>
      <c r="C36" s="17" t="s">
        <v>153</v>
      </c>
      <c r="D36" s="17" t="s">
        <v>154</v>
      </c>
      <c r="E36" s="17" t="s">
        <v>176</v>
      </c>
      <c r="F36" s="17" t="s">
        <v>155</v>
      </c>
      <c r="G36" s="17"/>
      <c r="H36" s="17" t="s">
        <v>201</v>
      </c>
    </row>
    <row r="37" customFormat="false" ht="15" hidden="false" customHeight="true" outlineLevel="0" collapsed="false">
      <c r="A37" s="5" t="s">
        <v>202</v>
      </c>
      <c r="C37" s="1" t="n">
        <f aca="false">COUNTIF($B$5:$B$19,"Vulnerable")</f>
        <v>12</v>
      </c>
      <c r="D37" s="1" t="n">
        <f aca="false">COUNTIF($B$5:$B$19,"Vulnerable")</f>
        <v>12</v>
      </c>
      <c r="E37" s="1" t="n">
        <f aca="false">COUNTIF($B$5:$B$19,"Vulnerable")</f>
        <v>12</v>
      </c>
      <c r="F37" s="1" t="n">
        <f aca="false">COUNTIF($B$5:$B$19,"Vulnerable")</f>
        <v>12</v>
      </c>
      <c r="H37" s="23" t="s">
        <v>203</v>
      </c>
    </row>
    <row r="38" customFormat="false" ht="15" hidden="false" customHeight="true" outlineLevel="0" collapsed="false">
      <c r="A38" s="5" t="s">
        <v>204</v>
      </c>
      <c r="C38" s="1" t="n">
        <f aca="false">COUNTIFS($B$5:$B$19,"Vulnerable",C$5:C$19,"TP")</f>
        <v>5</v>
      </c>
      <c r="D38" s="1" t="n">
        <f aca="false">COUNTIFS($B$5:$B$19,"Vulnerable",D$5:D$19,"TP")</f>
        <v>4</v>
      </c>
      <c r="E38" s="1" t="n">
        <f aca="false">COUNTIFS($B$5:$B$19,"Vulnerable",E$5:E$19,"TP")</f>
        <v>8</v>
      </c>
      <c r="F38" s="1" t="n">
        <f aca="false">COUNTIFS($B$5:$B$19,"Vulnerable",F$5:F$19,"TP")</f>
        <v>11</v>
      </c>
      <c r="H38" s="23" t="s">
        <v>205</v>
      </c>
    </row>
    <row r="39" customFormat="false" ht="15" hidden="false" customHeight="true" outlineLevel="0" collapsed="false">
      <c r="A39" s="5" t="s">
        <v>206</v>
      </c>
      <c r="C39" s="1" t="n">
        <f aca="false">COUNTIFS($B$5:$B$19,"Vulnerable",C$5:C$19,"PARTIAL")</f>
        <v>0</v>
      </c>
      <c r="D39" s="1" t="n">
        <f aca="false">COUNTIFS($B$5:$B$19,"Vulnerable",D$5:D$19,"PARTIAL")</f>
        <v>0</v>
      </c>
      <c r="E39" s="1" t="n">
        <f aca="false">COUNTIFS($B$5:$B$19,"Vulnerable",E$5:E$19,"PARTIAL")</f>
        <v>0</v>
      </c>
      <c r="F39" s="1" t="n">
        <f aca="false">COUNTIFS($B$5:$B$19,"Vulnerable",F$5:F$19,"PARTIAL")</f>
        <v>1</v>
      </c>
      <c r="H39" s="23" t="s">
        <v>207</v>
      </c>
    </row>
    <row r="40" customFormat="false" ht="15" hidden="false" customHeight="true" outlineLevel="0" collapsed="false">
      <c r="A40" s="5" t="s">
        <v>208</v>
      </c>
      <c r="C40" s="1" t="n">
        <f aca="false">COUNTIFS($B$5:$B$19,"Vulnerable",C$5:C$19,"FN")</f>
        <v>7</v>
      </c>
      <c r="D40" s="1" t="n">
        <f aca="false">COUNTIFS($B$5:$B$19,"Vulnerable",D$5:D$19,"FN")</f>
        <v>8</v>
      </c>
      <c r="E40" s="1" t="n">
        <f aca="false">COUNTIFS($B$5:$B$19,"Vulnerable",E$5:E$19,"FN")</f>
        <v>4</v>
      </c>
      <c r="F40" s="1" t="n">
        <f aca="false">COUNTIFS($B$5:$B$19,"Vulnerable",F$5:F$19,"FN")</f>
        <v>0</v>
      </c>
      <c r="H40" s="23"/>
    </row>
    <row r="41" customFormat="false" ht="15" hidden="false" customHeight="true" outlineLevel="0" collapsed="false">
      <c r="A41" s="5" t="s">
        <v>209</v>
      </c>
      <c r="C41" s="24" t="n">
        <f aca="false">IFERROR(C38/C37,0)</f>
        <v>0.416666666666667</v>
      </c>
      <c r="D41" s="24" t="n">
        <f aca="false">IFERROR(D38/D37,0)</f>
        <v>0.333333333333333</v>
      </c>
      <c r="E41" s="24" t="n">
        <f aca="false">IFERROR(E38/E37,0)</f>
        <v>0.666666666666667</v>
      </c>
      <c r="F41" s="24" t="n">
        <f aca="false">IFERROR(F38/F37,0)</f>
        <v>0.916666666666667</v>
      </c>
      <c r="H41" s="23" t="s">
        <v>210</v>
      </c>
    </row>
    <row r="42" customFormat="false" ht="15" hidden="false" customHeight="true" outlineLevel="0" collapsed="false">
      <c r="A42" s="5" t="s">
        <v>211</v>
      </c>
      <c r="C42" s="24" t="n">
        <f aca="false">IFERROR((C38+C39)/C37,0)</f>
        <v>0.416666666666667</v>
      </c>
      <c r="D42" s="24" t="n">
        <f aca="false">IFERROR((D38+D39)/D37,0)</f>
        <v>0.333333333333333</v>
      </c>
      <c r="E42" s="24" t="n">
        <f aca="false">IFERROR((E38+E39)/E37,0)</f>
        <v>0.666666666666667</v>
      </c>
      <c r="F42" s="24" t="n">
        <f aca="false">IFERROR((F38+F39)/F37,0)</f>
        <v>1</v>
      </c>
      <c r="H42" s="23" t="s">
        <v>212</v>
      </c>
    </row>
    <row r="43" customFormat="false" ht="15" hidden="false" customHeight="true" outlineLevel="0" collapsed="false">
      <c r="A43" s="5" t="s">
        <v>213</v>
      </c>
      <c r="C43" s="1" t="n">
        <f aca="false">COUNTIF($B$5:$B$19,"&lt;&gt;Vulnerable")</f>
        <v>3</v>
      </c>
      <c r="D43" s="1" t="n">
        <f aca="false">COUNTIF($B$5:$B$19,"&lt;&gt;Vulnerable")</f>
        <v>3</v>
      </c>
      <c r="E43" s="1" t="n">
        <f aca="false">COUNTIF($B$5:$B$19,"&lt;&gt;Vulnerable")</f>
        <v>3</v>
      </c>
      <c r="F43" s="1" t="n">
        <f aca="false">COUNTIF($B$5:$B$19,"&lt;&gt;Vulnerable")</f>
        <v>3</v>
      </c>
      <c r="H43" s="23" t="s">
        <v>214</v>
      </c>
    </row>
    <row r="44" customFormat="false" ht="15" hidden="false" customHeight="true" outlineLevel="0" collapsed="false">
      <c r="A44" s="5" t="s">
        <v>215</v>
      </c>
      <c r="C44" s="1" t="n">
        <f aca="false">COUNTIFS($B$5:$B$19,"&lt;&gt;Vulnerable",C$5:C$19,"TN")</f>
        <v>3</v>
      </c>
      <c r="D44" s="1" t="n">
        <f aca="false">COUNTIFS($B$5:$B$19,"&lt;&gt;Vulnerable",D$5:D$19,"TN")</f>
        <v>2</v>
      </c>
      <c r="E44" s="1" t="n">
        <f aca="false">COUNTIFS($B$5:$B$19,"&lt;&gt;Vulnerable",E$5:E$19,"TN")</f>
        <v>2</v>
      </c>
      <c r="F44" s="1" t="n">
        <f aca="false">COUNTIFS($B$5:$B$19,"&lt;&gt;Vulnerable",F$5:F$19,"TN")</f>
        <v>2</v>
      </c>
      <c r="H44" s="23"/>
    </row>
    <row r="45" customFormat="false" ht="15" hidden="false" customHeight="true" outlineLevel="0" collapsed="false">
      <c r="A45" s="5" t="s">
        <v>216</v>
      </c>
      <c r="C45" s="1" t="n">
        <f aca="false">COUNTIFS($B$5:$B$19,"&lt;&gt;Vulnerable",C$5:C$19,"FP")+COUNTIFS($B$5:$B$19,"&lt;&gt;Vulnerable",C$5:C$19,"CONTEXT")</f>
        <v>0</v>
      </c>
      <c r="D45" s="1" t="n">
        <f aca="false">COUNTIFS($B$5:$B$19,"&lt;&gt;Vulnerable",D$5:D$19,"FP")+COUNTIFS($B$5:$B$19,"&lt;&gt;Vulnerable",D$5:D$19,"CONTEXT")</f>
        <v>1</v>
      </c>
      <c r="E45" s="1" t="n">
        <f aca="false">COUNTIFS($B$5:$B$19,"&lt;&gt;Vulnerable",E$5:E$19,"FP")+COUNTIFS($B$5:$B$19,"&lt;&gt;Vulnerable",E$5:E$19,"CONTEXT")</f>
        <v>1</v>
      </c>
      <c r="F45" s="1" t="n">
        <f aca="false">COUNTIFS($B$5:$B$19,"&lt;&gt;Vulnerable",F$5:F$19,"FP")+COUNTIFS($B$5:$B$19,"&lt;&gt;Vulnerable",F$5:F$19,"CONTEXT")</f>
        <v>1</v>
      </c>
      <c r="H45" s="23" t="s">
        <v>217</v>
      </c>
    </row>
    <row r="48" customFormat="false" ht="17.25" hidden="false" customHeight="true" outlineLevel="0" collapsed="false">
      <c r="A48" s="13" t="s">
        <v>219</v>
      </c>
    </row>
    <row r="49" customFormat="false" ht="15" hidden="false" customHeight="true" outlineLevel="0" collapsed="false">
      <c r="A49" s="5" t="s">
        <v>175</v>
      </c>
      <c r="C49" s="1" t="n">
        <f aca="false">SUMPRODUCT(($B$5:$B$19="Vulnerable")*($E$5:$E$19="TP"))</f>
        <v>8</v>
      </c>
      <c r="H49" s="23" t="s">
        <v>176</v>
      </c>
    </row>
    <row r="50" customFormat="false" ht="15" hidden="false" customHeight="true" outlineLevel="0" collapsed="false">
      <c r="A50" s="5" t="s">
        <v>220</v>
      </c>
      <c r="C50" s="1" t="n">
        <f aca="false">SUMPRODUCT(($B$5:$B$19="Vulnerable")*($F$5:$F$19="TP"))</f>
        <v>11</v>
      </c>
    </row>
    <row r="51" customFormat="false" ht="15" hidden="false" customHeight="true" outlineLevel="0" collapsed="false">
      <c r="A51" s="5" t="s">
        <v>221</v>
      </c>
      <c r="C51" s="1" t="n">
        <f aca="false">SUMPRODUCT(($B$5:$B$19="Vulnerable")*($F$5:$F$19="TP")*($E$5:$E$19&lt;&gt;"TP"))</f>
        <v>3</v>
      </c>
      <c r="H51" s="23" t="s">
        <v>222</v>
      </c>
    </row>
    <row r="52" customFormat="false" ht="15" hidden="false" customHeight="true" outlineLevel="0" collapsed="false">
      <c r="A52" s="5" t="s">
        <v>223</v>
      </c>
      <c r="C52" s="1" t="n">
        <f aca="false">SUMPRODUCT(($B$5:$B$19="Vulnerable")*($E$5:$E$19="TP")*($F$5:$F$19&lt;&gt;"TP"))</f>
        <v>0</v>
      </c>
    </row>
    <row r="53" customFormat="false" ht="15" hidden="false" customHeight="true" outlineLevel="0" collapsed="false">
      <c r="A53" s="5" t="s">
        <v>224</v>
      </c>
      <c r="C53" s="1" t="n">
        <f aca="false">SUMPRODUCT(($B$5:$B$19="Vulnerable")*((($E$5:$E$19="TP")+($F$5:$F$19="TP"))&gt;0))</f>
        <v>11</v>
      </c>
    </row>
    <row r="54" customFormat="false" ht="15" hidden="false" customHeight="true" outlineLevel="0" collapsed="false">
      <c r="A54" s="5" t="s">
        <v>225</v>
      </c>
      <c r="C54" s="1" t="n">
        <f aca="false">SUMPRODUCT(($B$5:$B$19="Vulnerable")*($E$5:$E$19&lt;&gt;"TP")*($F$5:$F$19&lt;&gt;"TP"))</f>
        <v>1</v>
      </c>
      <c r="H54" s="23" t="s">
        <v>226</v>
      </c>
    </row>
    <row r="56" customFormat="false" ht="17.25" hidden="false" customHeight="true" outlineLevel="0" collapsed="false">
      <c r="A56" s="13" t="s">
        <v>227</v>
      </c>
    </row>
    <row r="57" customFormat="false" ht="15" hidden="false" customHeight="true" outlineLevel="0" collapsed="false">
      <c r="A57" s="5" t="s">
        <v>228</v>
      </c>
      <c r="C57" s="25" t="n">
        <f aca="false">COUNTIF('AI Run Outcomes'!$D$5:$D$50,"Vulnerable")</f>
        <v>37</v>
      </c>
      <c r="H57" s="23" t="s">
        <v>229</v>
      </c>
    </row>
    <row r="58" customFormat="false" ht="15" hidden="false" customHeight="true" outlineLevel="0" collapsed="false">
      <c r="A58" s="5" t="s">
        <v>230</v>
      </c>
      <c r="C58" s="25" t="n">
        <f aca="false">COUNTIF('AI Run Outcomes'!$J$5:$J$50,"Y")</f>
        <v>34</v>
      </c>
      <c r="H58" s="23" t="s">
        <v>231</v>
      </c>
    </row>
    <row r="59" customFormat="false" ht="15" hidden="false" customHeight="true" outlineLevel="0" collapsed="false">
      <c r="A59" s="5" t="s">
        <v>232</v>
      </c>
      <c r="C59" s="24" t="n">
        <f aca="false">C58/C57</f>
        <v>0.918918918918919</v>
      </c>
    </row>
    <row r="60" customFormat="false" ht="15" hidden="false" customHeight="true" outlineLevel="0" collapsed="false">
      <c r="A60" s="5" t="s">
        <v>233</v>
      </c>
      <c r="C60" s="25" t="n">
        <f aca="false">COUNTIF('AI Run Outcomes'!$D$5:$D$50,"&lt;&gt;Vulnerable")</f>
        <v>9</v>
      </c>
    </row>
    <row r="61" customFormat="false" ht="15" hidden="false" customHeight="true" outlineLevel="0" collapsed="false">
      <c r="A61" s="5" t="s">
        <v>234</v>
      </c>
      <c r="C61" s="25" t="n">
        <f aca="false">COUNTIFS('AI Run Outcomes'!$D$5:$D$50,"&lt;&gt;Vulnerable",'AI Run Outcomes'!$E$5:$E$50,"&gt;0")</f>
        <v>3</v>
      </c>
    </row>
    <row r="62" customFormat="false" ht="15" hidden="false" customHeight="true" outlineLevel="0" collapsed="false">
      <c r="A62" s="5" t="s">
        <v>235</v>
      </c>
      <c r="C62" s="24" t="n">
        <f aca="false">C61/C60</f>
        <v>0.333333333333333</v>
      </c>
    </row>
    <row r="63" customFormat="false" ht="15" hidden="false" customHeight="true" outlineLevel="0" collapsed="false">
      <c r="A63" s="5" t="s">
        <v>236</v>
      </c>
      <c r="C63" s="25" t="n">
        <f aca="false">COUNTIFS('AI Run Outcomes'!$D$5:$D$50,"&lt;&gt;Vulnerable",'AI Run Outcomes'!$L$5:$L$50,"DO_NOT_MERGE")</f>
        <v>1</v>
      </c>
    </row>
    <row r="64" customFormat="false" ht="15" hidden="false" customHeight="true" outlineLevel="0" collapsed="false">
      <c r="A64" s="5" t="s">
        <v>237</v>
      </c>
      <c r="C64" s="25" t="n">
        <f aca="false">COUNTIF('AI Confirmed Findings'!$G$6:$G$59,"&lt;&gt;NONE")</f>
        <v>45</v>
      </c>
    </row>
    <row r="65" customFormat="false" ht="15" hidden="false" customHeight="true" outlineLevel="0" collapsed="false">
      <c r="A65" s="5" t="s">
        <v>238</v>
      </c>
      <c r="C65" s="25" t="n">
        <f aca="false">COUNTIF('AI Confirmed Findings'!$G$6:$G$59,"TARGET")</f>
        <v>34</v>
      </c>
    </row>
    <row r="66" customFormat="false" ht="15" hidden="false" customHeight="true" outlineLevel="0" collapsed="false">
      <c r="A66" s="5" t="s">
        <v>239</v>
      </c>
      <c r="C66" s="25" t="n">
        <f aca="false">COUNTIF('AI Confirmed Findings'!$G$6:$G$59,"EXTRA-VALID")</f>
        <v>3</v>
      </c>
    </row>
    <row r="67" customFormat="false" ht="15" hidden="false" customHeight="true" outlineLevel="0" collapsed="false">
      <c r="A67" s="5" t="s">
        <v>240</v>
      </c>
      <c r="C67" s="25" t="n">
        <f aca="false">COUNTIF('AI Confirmed Findings'!$G$6:$G$59,"DUPLICATE")</f>
        <v>1</v>
      </c>
    </row>
    <row r="68" customFormat="false" ht="15" hidden="false" customHeight="true" outlineLevel="0" collapsed="false">
      <c r="A68" s="5" t="s">
        <v>241</v>
      </c>
      <c r="C68" s="25" t="n">
        <f aca="false">COUNTIF('AI Confirmed Findings'!$G$6:$G$59,"FALSE")</f>
        <v>7</v>
      </c>
    </row>
    <row r="69" customFormat="false" ht="15" hidden="false" customHeight="true" outlineLevel="0" collapsed="false">
      <c r="A69" s="5" t="s">
        <v>242</v>
      </c>
      <c r="C69" s="24" t="n">
        <f aca="false">(C65+C66)/C64</f>
        <v>0.822222222222222</v>
      </c>
    </row>
    <row r="70" customFormat="false" ht="15" hidden="false" customHeight="true" outlineLevel="0" collapsed="false">
      <c r="A70" s="5" t="s">
        <v>243</v>
      </c>
      <c r="C70" s="25" t="n">
        <f aca="false">COUNTIF('AI Run Outcomes'!$I$5:$I$50,"&gt;0")</f>
        <v>5</v>
      </c>
    </row>
    <row r="71" customFormat="false" ht="15" hidden="false" customHeight="true" outlineLevel="0" collapsed="false">
      <c r="A71" s="5" t="s">
        <v>244</v>
      </c>
      <c r="C71" s="25" t="n">
        <f aca="false">COUNTIF('AI Confirmed Findings'!$F$6:$F$59,"*failed validation*")</f>
        <v>1</v>
      </c>
    </row>
    <row r="73" customFormat="false" ht="17.25" hidden="false" customHeight="true" outlineLevel="0" collapsed="false">
      <c r="A73" s="13" t="s">
        <v>245</v>
      </c>
    </row>
    <row r="74" customFormat="false" ht="15" hidden="false" customHeight="true" outlineLevel="0" collapsed="false">
      <c r="A74" s="5" t="s">
        <v>246</v>
      </c>
      <c r="C74" s="26" t="n">
        <f aca="false">Timing!E54</f>
        <v>77</v>
      </c>
    </row>
    <row r="75" customFormat="false" ht="15" hidden="false" customHeight="true" outlineLevel="0" collapsed="false">
      <c r="A75" s="5" t="s">
        <v>247</v>
      </c>
      <c r="C75" s="26" t="n">
        <f aca="false">Timing!G54</f>
        <v>6</v>
      </c>
    </row>
    <row r="76" customFormat="false" ht="15" hidden="false" customHeight="true" outlineLevel="0" collapsed="false">
      <c r="A76" s="5" t="s">
        <v>248</v>
      </c>
      <c r="C76" s="26" t="n">
        <f aca="false">Timing!F54</f>
        <v>19.5</v>
      </c>
    </row>
    <row r="77" customFormat="false" ht="15" hidden="false" customHeight="true" outlineLevel="0" collapsed="false">
      <c r="A77" s="5" t="s">
        <v>249</v>
      </c>
      <c r="C77" s="26" t="n">
        <f aca="false">Timing!H54</f>
        <v>1</v>
      </c>
    </row>
    <row r="78" customFormat="false" ht="15" hidden="false" customHeight="true" outlineLevel="0" collapsed="false">
      <c r="A78" s="5" t="s">
        <v>250</v>
      </c>
      <c r="C78" s="26" t="n">
        <f aca="false">Timing!I54</f>
        <v>31.5</v>
      </c>
    </row>
    <row r="79" customFormat="false" ht="15" hidden="false" customHeight="true" outlineLevel="0" collapsed="false">
      <c r="A79" s="5" t="s">
        <v>251</v>
      </c>
      <c r="C79" s="26" t="n">
        <f aca="false">Timing!L54</f>
        <v>79</v>
      </c>
    </row>
    <row r="81" customFormat="false" ht="17.25" hidden="false" customHeight="true" outlineLevel="0" collapsed="false">
      <c r="A81" s="13" t="s">
        <v>252</v>
      </c>
    </row>
    <row r="82" customFormat="false" ht="15" hidden="false" customHeight="true" outlineLevel="0" collapsed="false">
      <c r="A82" s="5" t="s">
        <v>253</v>
      </c>
      <c r="C82" s="27" t="n">
        <f aca="false">'Remediation Validation'!F23</f>
        <v>12</v>
      </c>
    </row>
    <row r="83" customFormat="false" ht="15" hidden="false" customHeight="true" outlineLevel="0" collapsed="false">
      <c r="A83" s="5" t="s">
        <v>254</v>
      </c>
      <c r="C83" s="27" t="n">
        <f aca="false">'Remediation Validation'!F24</f>
        <v>12</v>
      </c>
    </row>
    <row r="84" customFormat="false" ht="15" hidden="false" customHeight="true" outlineLevel="0" collapsed="false">
      <c r="A84" s="5" t="s">
        <v>255</v>
      </c>
      <c r="C84" s="27" t="n">
        <f aca="false">'Remediation Validation'!F25</f>
        <v>12</v>
      </c>
    </row>
    <row r="85" customFormat="false" ht="15" hidden="false" customHeight="true" outlineLevel="0" collapsed="false">
      <c r="A85" s="5" t="s">
        <v>256</v>
      </c>
      <c r="C85" s="27" t="n">
        <f aca="false">'Remediation Validation'!F26</f>
        <v>8</v>
      </c>
    </row>
    <row r="86" customFormat="false" ht="15" hidden="false" customHeight="true" outlineLevel="0" collapsed="false">
      <c r="A86" s="5" t="s">
        <v>257</v>
      </c>
      <c r="C86" s="27" t="n">
        <f aca="false">'Remediation Validation'!F27</f>
        <v>4</v>
      </c>
    </row>
    <row r="87" customFormat="false" ht="15" hidden="false" customHeight="true" outlineLevel="0" collapsed="false">
      <c r="A87" s="5" t="s">
        <v>258</v>
      </c>
      <c r="C87" s="27" t="n">
        <f aca="false">'Remediation Validation'!F28</f>
        <v>9</v>
      </c>
    </row>
    <row r="88" customFormat="false" ht="15" hidden="false" customHeight="true" outlineLevel="0" collapsed="false">
      <c r="A88" s="5" t="s">
        <v>259</v>
      </c>
      <c r="C88" s="27" t="n">
        <f aca="false">'Remediation Validation'!F29</f>
        <v>2</v>
      </c>
    </row>
    <row r="89" customFormat="false" ht="15" hidden="false" customHeight="true" outlineLevel="0" collapsed="false">
      <c r="A89" s="5" t="s">
        <v>260</v>
      </c>
      <c r="C89" s="27" t="n">
        <f aca="false">'Remediation Validation'!F30</f>
        <v>3</v>
      </c>
    </row>
    <row r="90" customFormat="false" ht="15" hidden="false" customHeight="true" outlineLevel="0" collapsed="false">
      <c r="A90" s="5" t="s">
        <v>261</v>
      </c>
      <c r="C90" s="27" t="n">
        <f aca="false">'Remediation Validation'!F31</f>
        <v>1</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70"/>
    <col collapsed="false" customWidth="true" hidden="false" outlineLevel="0" max="4" min="4" style="1" width="16"/>
    <col collapsed="false" customWidth="true" hidden="false" outlineLevel="0" max="5" min="5" style="1" width="50"/>
    <col collapsed="false" customWidth="true" hidden="false" outlineLevel="0" max="6" min="6" style="1" width="12"/>
    <col collapsed="false" customWidth="true" hidden="false" outlineLevel="0" max="7" min="7" style="1" width="45"/>
  </cols>
  <sheetData>
    <row r="1" customFormat="false" ht="17.25" hidden="false" customHeight="true" outlineLevel="0" collapsed="false">
      <c r="A1" s="13" t="s">
        <v>262</v>
      </c>
    </row>
    <row r="2" customFormat="false" ht="45" hidden="false" customHeight="true" outlineLevel="0" collapsed="false">
      <c r="A2" s="16" t="s">
        <v>263</v>
      </c>
      <c r="B2" s="16"/>
      <c r="C2" s="16"/>
      <c r="D2" s="16"/>
      <c r="E2" s="16"/>
      <c r="F2" s="16"/>
      <c r="G2" s="16"/>
    </row>
    <row r="4" customFormat="false" ht="39" hidden="false" customHeight="true" outlineLevel="0" collapsed="false">
      <c r="A4" s="17" t="s">
        <v>264</v>
      </c>
      <c r="B4" s="17" t="s">
        <v>265</v>
      </c>
      <c r="C4" s="17" t="s">
        <v>266</v>
      </c>
      <c r="D4" s="17" t="s">
        <v>267</v>
      </c>
      <c r="E4" s="17" t="s">
        <v>268</v>
      </c>
      <c r="F4" s="17" t="s">
        <v>186</v>
      </c>
      <c r="G4" s="17" t="s">
        <v>269</v>
      </c>
    </row>
    <row r="5" customFormat="false" ht="26.25" hidden="false" customHeight="true" outlineLevel="0" collapsed="false">
      <c r="A5" s="8" t="s">
        <v>270</v>
      </c>
      <c r="B5" s="8" t="s">
        <v>271</v>
      </c>
      <c r="C5" s="8" t="s">
        <v>272</v>
      </c>
      <c r="D5" s="8" t="s">
        <v>273</v>
      </c>
      <c r="E5" s="8" t="s">
        <v>274</v>
      </c>
      <c r="F5" s="8" t="s">
        <v>188</v>
      </c>
      <c r="G5" s="8" t="s">
        <v>275</v>
      </c>
    </row>
    <row r="6" customFormat="false" ht="39" hidden="false" customHeight="true" outlineLevel="0" collapsed="false">
      <c r="A6" s="8" t="s">
        <v>276</v>
      </c>
      <c r="B6" s="8" t="s">
        <v>271</v>
      </c>
      <c r="C6" s="8" t="s">
        <v>277</v>
      </c>
      <c r="D6" s="8" t="s">
        <v>278</v>
      </c>
      <c r="E6" s="8" t="s">
        <v>279</v>
      </c>
      <c r="F6" s="8" t="s">
        <v>188</v>
      </c>
      <c r="G6" s="8" t="s">
        <v>280</v>
      </c>
    </row>
    <row r="7" customFormat="false" ht="39" hidden="false" customHeight="true" outlineLevel="0" collapsed="false">
      <c r="A7" s="8" t="s">
        <v>281</v>
      </c>
      <c r="B7" s="8" t="s">
        <v>271</v>
      </c>
      <c r="C7" s="8" t="s">
        <v>282</v>
      </c>
      <c r="D7" s="8" t="s">
        <v>283</v>
      </c>
      <c r="E7" s="8" t="s">
        <v>284</v>
      </c>
      <c r="F7" s="8" t="s">
        <v>188</v>
      </c>
      <c r="G7" s="8"/>
    </row>
    <row r="8" customFormat="false" ht="39" hidden="false" customHeight="true" outlineLevel="0" collapsed="false">
      <c r="A8" s="8" t="s">
        <v>285</v>
      </c>
      <c r="B8" s="8" t="s">
        <v>271</v>
      </c>
      <c r="C8" s="8" t="s">
        <v>286</v>
      </c>
      <c r="D8" s="8" t="s">
        <v>287</v>
      </c>
      <c r="E8" s="8" t="s">
        <v>288</v>
      </c>
      <c r="F8" s="8" t="s">
        <v>188</v>
      </c>
      <c r="G8" s="8" t="s">
        <v>289</v>
      </c>
    </row>
    <row r="9" customFormat="false" ht="51.75" hidden="false" customHeight="true" outlineLevel="0" collapsed="false">
      <c r="A9" s="8" t="s">
        <v>290</v>
      </c>
      <c r="B9" s="8" t="s">
        <v>271</v>
      </c>
      <c r="C9" s="8" t="s">
        <v>291</v>
      </c>
      <c r="D9" s="8" t="s">
        <v>292</v>
      </c>
      <c r="E9" s="8" t="s">
        <v>293</v>
      </c>
      <c r="F9" s="8" t="s">
        <v>188</v>
      </c>
      <c r="G9" s="8" t="s">
        <v>294</v>
      </c>
    </row>
    <row r="10" customFormat="false" ht="26.25" hidden="false" customHeight="true" outlineLevel="0" collapsed="false">
      <c r="A10" s="8" t="s">
        <v>295</v>
      </c>
      <c r="B10" s="8" t="s">
        <v>271</v>
      </c>
      <c r="C10" s="8" t="s">
        <v>296</v>
      </c>
      <c r="D10" s="8" t="s">
        <v>292</v>
      </c>
      <c r="E10" s="8" t="s">
        <v>297</v>
      </c>
      <c r="F10" s="8" t="s">
        <v>188</v>
      </c>
      <c r="G10" s="8"/>
    </row>
    <row r="11" customFormat="false" ht="26.25" hidden="false" customHeight="true" outlineLevel="0" collapsed="false">
      <c r="A11" s="8" t="s">
        <v>298</v>
      </c>
      <c r="B11" s="8" t="s">
        <v>271</v>
      </c>
      <c r="C11" s="8" t="s">
        <v>299</v>
      </c>
      <c r="D11" s="8" t="s">
        <v>292</v>
      </c>
      <c r="E11" s="8" t="s">
        <v>300</v>
      </c>
      <c r="F11" s="8" t="s">
        <v>188</v>
      </c>
      <c r="G11" s="8"/>
    </row>
    <row r="12" customFormat="false" ht="26.25" hidden="false" customHeight="true" outlineLevel="0" collapsed="false">
      <c r="A12" s="8" t="s">
        <v>301</v>
      </c>
      <c r="B12" s="8" t="s">
        <v>271</v>
      </c>
      <c r="C12" s="8" t="s">
        <v>302</v>
      </c>
      <c r="D12" s="8" t="s">
        <v>303</v>
      </c>
      <c r="E12" s="8" t="s">
        <v>304</v>
      </c>
      <c r="F12" s="8" t="s">
        <v>188</v>
      </c>
      <c r="G12" s="8" t="s">
        <v>305</v>
      </c>
    </row>
    <row r="13" customFormat="false" ht="26.25" hidden="false" customHeight="true" outlineLevel="0" collapsed="false">
      <c r="A13" s="8" t="s">
        <v>306</v>
      </c>
      <c r="B13" s="8" t="s">
        <v>271</v>
      </c>
      <c r="C13" s="8" t="s">
        <v>307</v>
      </c>
      <c r="D13" s="8" t="s">
        <v>308</v>
      </c>
      <c r="E13" s="8" t="s">
        <v>309</v>
      </c>
      <c r="F13" s="8" t="s">
        <v>188</v>
      </c>
      <c r="G13" s="8"/>
    </row>
    <row r="14" customFormat="false" ht="39" hidden="false" customHeight="true" outlineLevel="0" collapsed="false">
      <c r="A14" s="8" t="s">
        <v>310</v>
      </c>
      <c r="B14" s="8" t="s">
        <v>271</v>
      </c>
      <c r="C14" s="8" t="s">
        <v>311</v>
      </c>
      <c r="D14" s="8" t="s">
        <v>312</v>
      </c>
      <c r="E14" s="8" t="s">
        <v>313</v>
      </c>
      <c r="F14" s="8" t="s">
        <v>188</v>
      </c>
      <c r="G14" s="8"/>
    </row>
    <row r="15" customFormat="false" ht="39" hidden="false" customHeight="true" outlineLevel="0" collapsed="false">
      <c r="A15" s="8" t="s">
        <v>314</v>
      </c>
      <c r="B15" s="8" t="s">
        <v>315</v>
      </c>
      <c r="C15" s="8" t="s">
        <v>316</v>
      </c>
      <c r="D15" s="8" t="s">
        <v>317</v>
      </c>
      <c r="E15" s="8" t="s">
        <v>318</v>
      </c>
      <c r="F15" s="8" t="s">
        <v>188</v>
      </c>
      <c r="G15" s="8"/>
    </row>
    <row r="16" customFormat="false" ht="26.25" hidden="false" customHeight="true" outlineLevel="0" collapsed="false">
      <c r="A16" s="8" t="s">
        <v>319</v>
      </c>
      <c r="B16" s="8" t="s">
        <v>315</v>
      </c>
      <c r="C16" s="8" t="s">
        <v>320</v>
      </c>
      <c r="D16" s="8" t="s">
        <v>321</v>
      </c>
      <c r="E16" s="8" t="s">
        <v>322</v>
      </c>
      <c r="F16" s="8" t="s">
        <v>188</v>
      </c>
      <c r="G16" s="8" t="s">
        <v>323</v>
      </c>
    </row>
    <row r="17" customFormat="false" ht="26.25" hidden="false" customHeight="true" outlineLevel="0" collapsed="false">
      <c r="A17" s="8" t="s">
        <v>324</v>
      </c>
      <c r="B17" s="8" t="s">
        <v>315</v>
      </c>
      <c r="C17" s="8" t="s">
        <v>325</v>
      </c>
      <c r="D17" s="8" t="s">
        <v>321</v>
      </c>
      <c r="E17" s="8" t="s">
        <v>326</v>
      </c>
      <c r="F17" s="8" t="s">
        <v>188</v>
      </c>
      <c r="G17" s="8" t="s">
        <v>323</v>
      </c>
    </row>
    <row r="18" customFormat="false" ht="26.25" hidden="false" customHeight="true" outlineLevel="0" collapsed="false">
      <c r="A18" s="8" t="s">
        <v>327</v>
      </c>
      <c r="B18" s="8" t="s">
        <v>315</v>
      </c>
      <c r="C18" s="8" t="s">
        <v>328</v>
      </c>
      <c r="D18" s="8" t="s">
        <v>329</v>
      </c>
      <c r="E18" s="8" t="s">
        <v>330</v>
      </c>
      <c r="F18" s="8" t="s">
        <v>188</v>
      </c>
      <c r="G18" s="8" t="s">
        <v>331</v>
      </c>
    </row>
    <row r="19" customFormat="false" ht="51.75" hidden="false" customHeight="true" outlineLevel="0" collapsed="false">
      <c r="A19" s="8" t="s">
        <v>332</v>
      </c>
      <c r="B19" s="8" t="s">
        <v>315</v>
      </c>
      <c r="C19" s="8" t="s">
        <v>333</v>
      </c>
      <c r="D19" s="8" t="s">
        <v>334</v>
      </c>
      <c r="E19" s="8" t="s">
        <v>335</v>
      </c>
      <c r="F19" s="8" t="s">
        <v>188</v>
      </c>
      <c r="G19" s="8" t="s">
        <v>336</v>
      </c>
    </row>
    <row r="20" customFormat="false" ht="39" hidden="false" customHeight="true" outlineLevel="0" collapsed="false">
      <c r="A20" s="8" t="s">
        <v>337</v>
      </c>
      <c r="B20" s="8" t="s">
        <v>315</v>
      </c>
      <c r="C20" s="8" t="s">
        <v>338</v>
      </c>
      <c r="D20" s="8" t="s">
        <v>334</v>
      </c>
      <c r="E20" s="8" t="s">
        <v>339</v>
      </c>
      <c r="F20" s="8" t="s">
        <v>188</v>
      </c>
      <c r="G20" s="8"/>
    </row>
    <row r="21" customFormat="false" ht="26.25" hidden="false" customHeight="true" outlineLevel="0" collapsed="false">
      <c r="A21" s="8" t="s">
        <v>340</v>
      </c>
      <c r="B21" s="8" t="s">
        <v>315</v>
      </c>
      <c r="C21" s="8" t="s">
        <v>341</v>
      </c>
      <c r="D21" s="8" t="s">
        <v>321</v>
      </c>
      <c r="E21" s="8" t="s">
        <v>342</v>
      </c>
      <c r="F21" s="8" t="s">
        <v>188</v>
      </c>
      <c r="G21" s="8"/>
    </row>
    <row r="22" customFormat="false" ht="39" hidden="false" customHeight="true" outlineLevel="0" collapsed="false">
      <c r="A22" s="8" t="s">
        <v>343</v>
      </c>
      <c r="B22" s="8" t="s">
        <v>315</v>
      </c>
      <c r="C22" s="8" t="s">
        <v>344</v>
      </c>
      <c r="D22" s="8" t="s">
        <v>321</v>
      </c>
      <c r="E22" s="8" t="s">
        <v>345</v>
      </c>
      <c r="F22" s="8" t="s">
        <v>188</v>
      </c>
      <c r="G22" s="8" t="s">
        <v>346</v>
      </c>
    </row>
    <row r="23" customFormat="false" ht="51.75" hidden="false" customHeight="true" outlineLevel="0" collapsed="false">
      <c r="A23" s="8" t="s">
        <v>347</v>
      </c>
      <c r="B23" s="8" t="s">
        <v>315</v>
      </c>
      <c r="C23" s="8" t="s">
        <v>348</v>
      </c>
      <c r="D23" s="8" t="s">
        <v>349</v>
      </c>
      <c r="E23" s="8" t="s">
        <v>350</v>
      </c>
      <c r="F23" s="8" t="s">
        <v>188</v>
      </c>
      <c r="G23" s="8" t="s">
        <v>351</v>
      </c>
    </row>
    <row r="24" customFormat="false" ht="26.25" hidden="false" customHeight="true" outlineLevel="0" collapsed="false">
      <c r="A24" s="8" t="s">
        <v>352</v>
      </c>
      <c r="B24" s="8" t="s">
        <v>315</v>
      </c>
      <c r="C24" s="8" t="s">
        <v>353</v>
      </c>
      <c r="D24" s="8" t="s">
        <v>321</v>
      </c>
      <c r="E24" s="8" t="s">
        <v>354</v>
      </c>
      <c r="F24" s="8" t="s">
        <v>188</v>
      </c>
      <c r="G24" s="8" t="s">
        <v>355</v>
      </c>
    </row>
    <row r="25" customFormat="false" ht="26.25" hidden="false" customHeight="true" outlineLevel="0" collapsed="false">
      <c r="A25" s="8" t="s">
        <v>356</v>
      </c>
      <c r="B25" s="8" t="s">
        <v>315</v>
      </c>
      <c r="C25" s="8" t="s">
        <v>357</v>
      </c>
      <c r="D25" s="8" t="s">
        <v>358</v>
      </c>
      <c r="E25" s="8" t="s">
        <v>359</v>
      </c>
      <c r="F25" s="8" t="s">
        <v>188</v>
      </c>
      <c r="G25" s="8" t="s">
        <v>360</v>
      </c>
    </row>
    <row r="26" customFormat="false" ht="26.25" hidden="false" customHeight="true" outlineLevel="0" collapsed="false">
      <c r="A26" s="8" t="s">
        <v>361</v>
      </c>
      <c r="B26" s="8" t="s">
        <v>315</v>
      </c>
      <c r="C26" s="8" t="s">
        <v>362</v>
      </c>
      <c r="D26" s="8" t="s">
        <v>363</v>
      </c>
      <c r="E26" s="8" t="s">
        <v>364</v>
      </c>
      <c r="F26" s="8" t="s">
        <v>188</v>
      </c>
      <c r="G26" s="8" t="s">
        <v>365</v>
      </c>
    </row>
    <row r="27" customFormat="false" ht="39" hidden="false" customHeight="true" outlineLevel="0" collapsed="false">
      <c r="A27" s="8" t="s">
        <v>366</v>
      </c>
      <c r="B27" s="8" t="s">
        <v>315</v>
      </c>
      <c r="C27" s="8" t="s">
        <v>367</v>
      </c>
      <c r="D27" s="8" t="s">
        <v>368</v>
      </c>
      <c r="E27" s="8" t="s">
        <v>369</v>
      </c>
      <c r="F27" s="8" t="s">
        <v>188</v>
      </c>
      <c r="G27" s="8" t="s">
        <v>370</v>
      </c>
    </row>
    <row r="28" customFormat="false" ht="39" hidden="false" customHeight="true" outlineLevel="0" collapsed="false">
      <c r="A28" s="8" t="s">
        <v>371</v>
      </c>
      <c r="B28" s="8" t="s">
        <v>315</v>
      </c>
      <c r="C28" s="8" t="s">
        <v>372</v>
      </c>
      <c r="D28" s="8" t="s">
        <v>373</v>
      </c>
      <c r="E28" s="8" t="s">
        <v>374</v>
      </c>
      <c r="F28" s="8" t="s">
        <v>188</v>
      </c>
      <c r="G28" s="8" t="s">
        <v>375</v>
      </c>
    </row>
    <row r="29" customFormat="false" ht="26.25" hidden="false" customHeight="true" outlineLevel="0" collapsed="false">
      <c r="A29" s="8" t="s">
        <v>376</v>
      </c>
      <c r="B29" s="8" t="s">
        <v>315</v>
      </c>
      <c r="C29" s="8" t="s">
        <v>377</v>
      </c>
      <c r="D29" s="8" t="s">
        <v>378</v>
      </c>
      <c r="E29" s="8" t="s">
        <v>379</v>
      </c>
      <c r="F29" s="8" t="s">
        <v>188</v>
      </c>
      <c r="G29" s="8" t="s">
        <v>380</v>
      </c>
    </row>
    <row r="30" customFormat="false" ht="15" hidden="false" customHeight="true" outlineLevel="0" collapsed="false">
      <c r="A30" s="8" t="s">
        <v>381</v>
      </c>
      <c r="B30" s="8" t="s">
        <v>315</v>
      </c>
      <c r="C30" s="8" t="s">
        <v>382</v>
      </c>
      <c r="D30" s="8" t="s">
        <v>383</v>
      </c>
      <c r="E30" s="8" t="s">
        <v>384</v>
      </c>
      <c r="F30" s="8" t="s">
        <v>188</v>
      </c>
      <c r="G30" s="8" t="s">
        <v>385</v>
      </c>
    </row>
    <row r="31" customFormat="false" ht="26.25" hidden="false" customHeight="true" outlineLevel="0" collapsed="false">
      <c r="A31" s="8" t="s">
        <v>386</v>
      </c>
      <c r="B31" s="8" t="s">
        <v>315</v>
      </c>
      <c r="C31" s="8" t="s">
        <v>387</v>
      </c>
      <c r="D31" s="8" t="s">
        <v>388</v>
      </c>
      <c r="E31" s="8" t="s">
        <v>389</v>
      </c>
      <c r="F31" s="8" t="s">
        <v>188</v>
      </c>
      <c r="G31" s="8" t="s">
        <v>390</v>
      </c>
    </row>
    <row r="32" customFormat="false" ht="26.25" hidden="false" customHeight="true" outlineLevel="0" collapsed="false">
      <c r="A32" s="8" t="s">
        <v>391</v>
      </c>
      <c r="B32" s="8" t="s">
        <v>315</v>
      </c>
      <c r="C32" s="8" t="s">
        <v>392</v>
      </c>
      <c r="D32" s="8" t="s">
        <v>388</v>
      </c>
      <c r="E32" s="8" t="s">
        <v>393</v>
      </c>
      <c r="F32" s="8" t="s">
        <v>188</v>
      </c>
      <c r="G32" s="8"/>
    </row>
    <row r="33" customFormat="false" ht="26.25" hidden="false" customHeight="true" outlineLevel="0" collapsed="false">
      <c r="A33" s="8" t="s">
        <v>394</v>
      </c>
      <c r="B33" s="8" t="s">
        <v>395</v>
      </c>
      <c r="C33" s="8" t="s">
        <v>396</v>
      </c>
      <c r="D33" s="8" t="s">
        <v>278</v>
      </c>
      <c r="E33" s="8" t="s">
        <v>397</v>
      </c>
      <c r="F33" s="8" t="s">
        <v>188</v>
      </c>
      <c r="G33" s="8" t="s">
        <v>398</v>
      </c>
    </row>
    <row r="34" customFormat="false" ht="26.25" hidden="false" customHeight="true" outlineLevel="0" collapsed="false">
      <c r="A34" s="8" t="s">
        <v>399</v>
      </c>
      <c r="B34" s="8" t="s">
        <v>395</v>
      </c>
      <c r="C34" s="8" t="s">
        <v>400</v>
      </c>
      <c r="D34" s="8" t="s">
        <v>317</v>
      </c>
      <c r="E34" s="8" t="s">
        <v>401</v>
      </c>
      <c r="F34" s="8" t="s">
        <v>188</v>
      </c>
      <c r="G34" s="8"/>
    </row>
    <row r="35" customFormat="false" ht="26.25" hidden="false" customHeight="true" outlineLevel="0" collapsed="false">
      <c r="A35" s="8" t="s">
        <v>402</v>
      </c>
      <c r="B35" s="8" t="s">
        <v>395</v>
      </c>
      <c r="C35" s="8" t="s">
        <v>403</v>
      </c>
      <c r="D35" s="8" t="s">
        <v>317</v>
      </c>
      <c r="E35" s="8" t="s">
        <v>404</v>
      </c>
      <c r="F35" s="8" t="s">
        <v>188</v>
      </c>
      <c r="G35" s="8"/>
    </row>
    <row r="36" customFormat="false" ht="26.25" hidden="false" customHeight="true" outlineLevel="0" collapsed="false">
      <c r="A36" s="8" t="s">
        <v>405</v>
      </c>
      <c r="B36" s="8" t="s">
        <v>395</v>
      </c>
      <c r="C36" s="8" t="s">
        <v>406</v>
      </c>
      <c r="D36" s="8" t="s">
        <v>407</v>
      </c>
      <c r="E36" s="8" t="s">
        <v>408</v>
      </c>
      <c r="F36" s="8" t="s">
        <v>188</v>
      </c>
      <c r="G36" s="8" t="s">
        <v>409</v>
      </c>
    </row>
    <row r="37" customFormat="false" ht="26.25" hidden="false" customHeight="true" outlineLevel="0" collapsed="false">
      <c r="A37" s="8" t="s">
        <v>410</v>
      </c>
      <c r="B37" s="8" t="s">
        <v>395</v>
      </c>
      <c r="C37" s="8" t="s">
        <v>411</v>
      </c>
      <c r="D37" s="8" t="s">
        <v>412</v>
      </c>
      <c r="E37" s="8" t="s">
        <v>413</v>
      </c>
      <c r="F37" s="8" t="s">
        <v>188</v>
      </c>
      <c r="G37" s="8" t="s">
        <v>414</v>
      </c>
    </row>
    <row r="38" customFormat="false" ht="26.25" hidden="false" customHeight="true" outlineLevel="0" collapsed="false">
      <c r="A38" s="8" t="s">
        <v>415</v>
      </c>
      <c r="B38" s="8" t="s">
        <v>395</v>
      </c>
      <c r="C38" s="8" t="s">
        <v>416</v>
      </c>
      <c r="D38" s="8" t="s">
        <v>417</v>
      </c>
      <c r="E38" s="8" t="s">
        <v>418</v>
      </c>
      <c r="F38" s="8" t="s">
        <v>188</v>
      </c>
      <c r="G38" s="8" t="s">
        <v>419</v>
      </c>
    </row>
    <row r="39" customFormat="false" ht="51.75" hidden="false" customHeight="true" outlineLevel="0" collapsed="false">
      <c r="A39" s="8" t="s">
        <v>420</v>
      </c>
      <c r="B39" s="8" t="s">
        <v>315</v>
      </c>
      <c r="C39" s="8" t="s">
        <v>421</v>
      </c>
      <c r="D39" s="8" t="s">
        <v>422</v>
      </c>
      <c r="E39" s="8" t="s">
        <v>423</v>
      </c>
      <c r="F39" s="8" t="s">
        <v>188</v>
      </c>
      <c r="G39" s="8" t="s">
        <v>424</v>
      </c>
    </row>
    <row r="40" customFormat="false" ht="26.25" hidden="false" customHeight="true" outlineLevel="0" collapsed="false">
      <c r="A40" s="8" t="s">
        <v>425</v>
      </c>
      <c r="B40" s="8" t="s">
        <v>315</v>
      </c>
      <c r="C40" s="8" t="s">
        <v>426</v>
      </c>
      <c r="D40" s="8" t="s">
        <v>329</v>
      </c>
      <c r="E40" s="8" t="s">
        <v>427</v>
      </c>
      <c r="F40" s="8" t="s">
        <v>188</v>
      </c>
      <c r="G40" s="8" t="s">
        <v>428</v>
      </c>
    </row>
    <row r="41" customFormat="false" ht="39" hidden="false" customHeight="true" outlineLevel="0" collapsed="false">
      <c r="A41" s="8" t="s">
        <v>429</v>
      </c>
      <c r="B41" s="8" t="s">
        <v>271</v>
      </c>
      <c r="C41" s="8" t="s">
        <v>430</v>
      </c>
      <c r="D41" s="8" t="s">
        <v>431</v>
      </c>
      <c r="E41" s="8" t="s">
        <v>432</v>
      </c>
      <c r="F41" s="8" t="s">
        <v>188</v>
      </c>
      <c r="G41" s="8" t="s">
        <v>433</v>
      </c>
    </row>
  </sheetData>
  <autoFilter ref="A4:G41"/>
  <mergeCells count="1">
    <mergeCell ref="A2:G2"/>
  </mergeCells>
  <conditionalFormatting sqref="F5:F41">
    <cfRule type="cellIs" priority="2" operator="equal" aboveAverage="0" equalAverage="0" bottom="0" percent="0" rank="0" text="" dxfId="8">
      <formula>"Verified"</formula>
    </cfRule>
    <cfRule type="cellIs" priority="3" operator="equal" aboveAverage="0" equalAverage="0" bottom="0" percent="0" rank="0" text="" dxfId="9">
      <formula>"Provisional"</formula>
    </cfRule>
    <cfRule type="cellIs" priority="4" operator="equal" aboveAverage="0" equalAverage="0" bottom="0" percent="0" rank="0" text="" dxfId="10">
      <formula>"Pending AB"</formula>
    </cfRule>
    <cfRule type="cellIs" priority="5" operator="equal" aboveAverage="0" equalAverage="0" bottom="0" percent="0" rank="0" text="" dxfId="9">
      <formula>"To produce"</formula>
    </cfRule>
    <cfRule type="cellIs" priority="6" operator="equal" aboveAverage="0" equalAverage="0" bottom="0" percent="0" rank="0" text="" dxfId="8">
      <formula>"Ready"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7"/>
    <col collapsed="false" customWidth="true" hidden="false" outlineLevel="0" max="3" min="3" style="1" width="8"/>
    <col collapsed="false" customWidth="true" hidden="false" outlineLevel="0" max="4" min="4" style="1" width="55"/>
    <col collapsed="false" customWidth="true" hidden="false" outlineLevel="0" max="5" min="5" style="1" width="50"/>
    <col collapsed="false" customWidth="true" hidden="false" outlineLevel="0" max="6" min="6" style="1" width="12"/>
    <col collapsed="false" customWidth="true" hidden="false" outlineLevel="0" max="7" min="7" style="1" width="35"/>
  </cols>
  <sheetData>
    <row r="1" customFormat="false" ht="17.25" hidden="false" customHeight="true" outlineLevel="0" collapsed="false">
      <c r="A1" s="13" t="s">
        <v>434</v>
      </c>
    </row>
    <row r="2" customFormat="false" ht="45" hidden="false" customHeight="true" outlineLevel="0" collapsed="false">
      <c r="A2" s="16" t="s">
        <v>435</v>
      </c>
      <c r="B2" s="16"/>
      <c r="C2" s="16"/>
      <c r="D2" s="16"/>
      <c r="E2" s="16"/>
      <c r="F2" s="16"/>
      <c r="G2" s="16"/>
    </row>
    <row r="4" customFormat="false" ht="26.25" hidden="false" customHeight="true" outlineLevel="0" collapsed="false">
      <c r="A4" s="17" t="s">
        <v>436</v>
      </c>
      <c r="B4" s="17" t="s">
        <v>437</v>
      </c>
      <c r="C4" s="17" t="s">
        <v>265</v>
      </c>
      <c r="D4" s="17" t="s">
        <v>438</v>
      </c>
      <c r="E4" s="17" t="s">
        <v>439</v>
      </c>
      <c r="F4" s="17" t="s">
        <v>186</v>
      </c>
      <c r="G4" s="17" t="s">
        <v>187</v>
      </c>
    </row>
    <row r="5" customFormat="false" ht="15" hidden="false" customHeight="true" outlineLevel="0" collapsed="false">
      <c r="A5" s="8" t="s">
        <v>440</v>
      </c>
      <c r="B5" s="8" t="s">
        <v>441</v>
      </c>
      <c r="C5" s="8" t="s">
        <v>271</v>
      </c>
      <c r="D5" s="8" t="s">
        <v>442</v>
      </c>
      <c r="E5" s="8" t="s">
        <v>443</v>
      </c>
      <c r="F5" s="8" t="s">
        <v>444</v>
      </c>
      <c r="G5" s="8" t="s">
        <v>445</v>
      </c>
    </row>
    <row r="6" customFormat="false" ht="15" hidden="false" customHeight="true" outlineLevel="0" collapsed="false">
      <c r="A6" s="8" t="s">
        <v>440</v>
      </c>
      <c r="B6" s="8" t="s">
        <v>446</v>
      </c>
      <c r="C6" s="8" t="s">
        <v>315</v>
      </c>
      <c r="D6" s="8" t="s">
        <v>447</v>
      </c>
      <c r="E6" s="8" t="s">
        <v>448</v>
      </c>
      <c r="F6" s="8" t="s">
        <v>444</v>
      </c>
      <c r="G6" s="8"/>
    </row>
    <row r="7" customFormat="false" ht="15" hidden="false" customHeight="true" outlineLevel="0" collapsed="false">
      <c r="A7" s="8" t="s">
        <v>440</v>
      </c>
      <c r="B7" s="8" t="s">
        <v>449</v>
      </c>
      <c r="C7" s="8" t="s">
        <v>315</v>
      </c>
      <c r="D7" s="8" t="s">
        <v>450</v>
      </c>
      <c r="E7" s="8" t="s">
        <v>451</v>
      </c>
      <c r="F7" s="8" t="s">
        <v>444</v>
      </c>
      <c r="G7" s="8"/>
    </row>
    <row r="8" customFormat="false" ht="15" hidden="false" customHeight="true" outlineLevel="0" collapsed="false">
      <c r="A8" s="8" t="s">
        <v>440</v>
      </c>
      <c r="B8" s="8" t="s">
        <v>452</v>
      </c>
      <c r="C8" s="8" t="s">
        <v>315</v>
      </c>
      <c r="D8" s="8" t="s">
        <v>453</v>
      </c>
      <c r="E8" s="8" t="s">
        <v>454</v>
      </c>
      <c r="F8" s="8" t="s">
        <v>444</v>
      </c>
      <c r="G8" s="8"/>
    </row>
    <row r="9" customFormat="false" ht="15" hidden="false" customHeight="true" outlineLevel="0" collapsed="false">
      <c r="A9" s="8" t="s">
        <v>440</v>
      </c>
      <c r="B9" s="8" t="s">
        <v>455</v>
      </c>
      <c r="C9" s="8" t="s">
        <v>315</v>
      </c>
      <c r="D9" s="8" t="s">
        <v>456</v>
      </c>
      <c r="E9" s="8" t="s">
        <v>457</v>
      </c>
      <c r="F9" s="8" t="s">
        <v>444</v>
      </c>
      <c r="G9" s="8"/>
    </row>
    <row r="10" customFormat="false" ht="15" hidden="false" customHeight="true" outlineLevel="0" collapsed="false">
      <c r="A10" s="8" t="s">
        <v>440</v>
      </c>
      <c r="B10" s="8" t="s">
        <v>458</v>
      </c>
      <c r="C10" s="8" t="s">
        <v>315</v>
      </c>
      <c r="D10" s="8" t="s">
        <v>459</v>
      </c>
      <c r="E10" s="8" t="s">
        <v>460</v>
      </c>
      <c r="F10" s="8" t="s">
        <v>444</v>
      </c>
      <c r="G10" s="8"/>
    </row>
    <row r="11" customFormat="false" ht="15" hidden="false" customHeight="true" outlineLevel="0" collapsed="false">
      <c r="A11" s="8" t="s">
        <v>461</v>
      </c>
      <c r="B11" s="8" t="s">
        <v>462</v>
      </c>
      <c r="C11" s="8" t="s">
        <v>315</v>
      </c>
      <c r="D11" s="8" t="s">
        <v>463</v>
      </c>
      <c r="E11" s="8" t="s">
        <v>464</v>
      </c>
      <c r="F11" s="8" t="s">
        <v>465</v>
      </c>
      <c r="G11" s="8"/>
    </row>
    <row r="12" customFormat="false" ht="15" hidden="false" customHeight="true" outlineLevel="0" collapsed="false">
      <c r="A12" s="8" t="s">
        <v>461</v>
      </c>
      <c r="B12" s="8" t="s">
        <v>466</v>
      </c>
      <c r="C12" s="8" t="s">
        <v>315</v>
      </c>
      <c r="D12" s="8" t="s">
        <v>467</v>
      </c>
      <c r="E12" s="8" t="s">
        <v>464</v>
      </c>
      <c r="F12" s="8" t="s">
        <v>465</v>
      </c>
      <c r="G12" s="8"/>
    </row>
    <row r="13" customFormat="false" ht="15" hidden="false" customHeight="true" outlineLevel="0" collapsed="false">
      <c r="A13" s="8" t="s">
        <v>461</v>
      </c>
      <c r="B13" s="8" t="s">
        <v>468</v>
      </c>
      <c r="C13" s="8" t="s">
        <v>315</v>
      </c>
      <c r="D13" s="8" t="s">
        <v>469</v>
      </c>
      <c r="E13" s="8" t="s">
        <v>470</v>
      </c>
      <c r="F13" s="8" t="s">
        <v>465</v>
      </c>
      <c r="G13" s="8"/>
    </row>
    <row r="14" customFormat="false" ht="15" hidden="false" customHeight="true" outlineLevel="0" collapsed="false">
      <c r="A14" s="8" t="s">
        <v>461</v>
      </c>
      <c r="B14" s="8" t="s">
        <v>471</v>
      </c>
      <c r="C14" s="8" t="s">
        <v>315</v>
      </c>
      <c r="D14" s="8" t="s">
        <v>472</v>
      </c>
      <c r="E14" s="8" t="s">
        <v>464</v>
      </c>
      <c r="F14" s="8" t="s">
        <v>465</v>
      </c>
      <c r="G14" s="8"/>
    </row>
    <row r="15" customFormat="false" ht="15" hidden="false" customHeight="true" outlineLevel="0" collapsed="false">
      <c r="A15" s="8" t="s">
        <v>461</v>
      </c>
      <c r="B15" s="8" t="s">
        <v>473</v>
      </c>
      <c r="C15" s="8" t="s">
        <v>315</v>
      </c>
      <c r="D15" s="8" t="s">
        <v>474</v>
      </c>
      <c r="E15" s="8" t="s">
        <v>475</v>
      </c>
      <c r="F15" s="8" t="s">
        <v>465</v>
      </c>
      <c r="G15" s="8"/>
    </row>
    <row r="16" customFormat="false" ht="15" hidden="false" customHeight="true" outlineLevel="0" collapsed="false">
      <c r="A16" s="8" t="s">
        <v>461</v>
      </c>
      <c r="B16" s="8" t="s">
        <v>476</v>
      </c>
      <c r="C16" s="8" t="s">
        <v>315</v>
      </c>
      <c r="D16" s="8" t="s">
        <v>477</v>
      </c>
      <c r="E16" s="8" t="s">
        <v>475</v>
      </c>
      <c r="F16" s="8" t="s">
        <v>465</v>
      </c>
      <c r="G16" s="8"/>
    </row>
    <row r="17" customFormat="false" ht="26.25" hidden="false" customHeight="true" outlineLevel="0" collapsed="false">
      <c r="A17" s="8" t="s">
        <v>461</v>
      </c>
      <c r="B17" s="8" t="s">
        <v>478</v>
      </c>
      <c r="C17" s="8" t="s">
        <v>315</v>
      </c>
      <c r="D17" s="8" t="s">
        <v>479</v>
      </c>
      <c r="E17" s="8" t="s">
        <v>480</v>
      </c>
      <c r="F17" s="8" t="s">
        <v>465</v>
      </c>
      <c r="G17" s="8" t="s">
        <v>481</v>
      </c>
    </row>
    <row r="18" customFormat="false" ht="15" hidden="false" customHeight="true" outlineLevel="0" collapsed="false">
      <c r="A18" s="8" t="s">
        <v>461</v>
      </c>
      <c r="B18" s="8" t="s">
        <v>482</v>
      </c>
      <c r="C18" s="8" t="s">
        <v>271</v>
      </c>
      <c r="D18" s="8" t="s">
        <v>483</v>
      </c>
      <c r="E18" s="8" t="s">
        <v>484</v>
      </c>
      <c r="F18" s="8" t="s">
        <v>465</v>
      </c>
      <c r="G18" s="8"/>
    </row>
    <row r="19" customFormat="false" ht="15" hidden="false" customHeight="true" outlineLevel="0" collapsed="false">
      <c r="A19" s="8" t="s">
        <v>485</v>
      </c>
      <c r="B19" s="8" t="s">
        <v>486</v>
      </c>
      <c r="C19" s="8" t="s">
        <v>271</v>
      </c>
      <c r="D19" s="8" t="s">
        <v>487</v>
      </c>
      <c r="E19" s="8" t="s">
        <v>488</v>
      </c>
      <c r="F19" s="8" t="s">
        <v>489</v>
      </c>
      <c r="G19" s="8"/>
    </row>
    <row r="20" customFormat="false" ht="15" hidden="false" customHeight="true" outlineLevel="0" collapsed="false">
      <c r="A20" s="8" t="s">
        <v>485</v>
      </c>
      <c r="B20" s="8" t="s">
        <v>490</v>
      </c>
      <c r="C20" s="8" t="s">
        <v>271</v>
      </c>
      <c r="D20" s="8" t="s">
        <v>491</v>
      </c>
      <c r="E20" s="8" t="s">
        <v>492</v>
      </c>
      <c r="F20" s="8" t="s">
        <v>489</v>
      </c>
      <c r="G20" s="8"/>
    </row>
    <row r="21" customFormat="false" ht="15" hidden="false" customHeight="true" outlineLevel="0" collapsed="false">
      <c r="A21" s="8" t="s">
        <v>485</v>
      </c>
      <c r="B21" s="8" t="s">
        <v>493</v>
      </c>
      <c r="C21" s="8" t="s">
        <v>271</v>
      </c>
      <c r="D21" s="8" t="s">
        <v>494</v>
      </c>
      <c r="E21" s="8" t="s">
        <v>495</v>
      </c>
      <c r="F21" s="8" t="s">
        <v>489</v>
      </c>
      <c r="G21" s="8"/>
    </row>
    <row r="22" customFormat="false" ht="15" hidden="false" customHeight="true" outlineLevel="0" collapsed="false">
      <c r="A22" s="8" t="s">
        <v>485</v>
      </c>
      <c r="B22" s="8" t="s">
        <v>496</v>
      </c>
      <c r="C22" s="8" t="s">
        <v>271</v>
      </c>
      <c r="D22" s="8" t="s">
        <v>497</v>
      </c>
      <c r="E22" s="8" t="s">
        <v>498</v>
      </c>
      <c r="F22" s="8" t="s">
        <v>489</v>
      </c>
      <c r="G22" s="8"/>
    </row>
    <row r="23" customFormat="false" ht="15" hidden="false" customHeight="true" outlineLevel="0" collapsed="false">
      <c r="A23" s="8" t="s">
        <v>485</v>
      </c>
      <c r="B23" s="8" t="s">
        <v>499</v>
      </c>
      <c r="C23" s="8" t="s">
        <v>315</v>
      </c>
      <c r="D23" s="8" t="s">
        <v>500</v>
      </c>
      <c r="E23" s="8" t="s">
        <v>501</v>
      </c>
      <c r="F23" s="8" t="s">
        <v>489</v>
      </c>
      <c r="G23" s="8"/>
    </row>
    <row r="24" customFormat="false" ht="15" hidden="false" customHeight="true" outlineLevel="0" collapsed="false">
      <c r="A24" s="8" t="s">
        <v>485</v>
      </c>
      <c r="B24" s="8" t="s">
        <v>502</v>
      </c>
      <c r="C24" s="8" t="s">
        <v>315</v>
      </c>
      <c r="D24" s="8" t="s">
        <v>503</v>
      </c>
      <c r="E24" s="8" t="s">
        <v>504</v>
      </c>
      <c r="F24" s="8" t="s">
        <v>489</v>
      </c>
      <c r="G24" s="8"/>
    </row>
    <row r="25" customFormat="false" ht="15" hidden="false" customHeight="true" outlineLevel="0" collapsed="false">
      <c r="A25" s="8" t="s">
        <v>485</v>
      </c>
      <c r="B25" s="8" t="s">
        <v>505</v>
      </c>
      <c r="C25" s="8" t="s">
        <v>315</v>
      </c>
      <c r="D25" s="8" t="s">
        <v>506</v>
      </c>
      <c r="E25" s="8" t="s">
        <v>507</v>
      </c>
      <c r="F25" s="8" t="s">
        <v>489</v>
      </c>
      <c r="G25" s="8"/>
    </row>
    <row r="26" customFormat="false" ht="15" hidden="false" customHeight="true" outlineLevel="0" collapsed="false">
      <c r="A26" s="8" t="s">
        <v>485</v>
      </c>
      <c r="B26" s="8" t="s">
        <v>508</v>
      </c>
      <c r="C26" s="8" t="s">
        <v>315</v>
      </c>
      <c r="D26" s="8" t="s">
        <v>509</v>
      </c>
      <c r="E26" s="8" t="s">
        <v>510</v>
      </c>
      <c r="F26" s="8" t="s">
        <v>489</v>
      </c>
      <c r="G26" s="8"/>
    </row>
    <row r="27" customFormat="false" ht="15" hidden="false" customHeight="true" outlineLevel="0" collapsed="false">
      <c r="A27" s="8" t="s">
        <v>485</v>
      </c>
      <c r="B27" s="8" t="s">
        <v>511</v>
      </c>
      <c r="C27" s="8" t="s">
        <v>315</v>
      </c>
      <c r="D27" s="8" t="s">
        <v>512</v>
      </c>
      <c r="E27" s="8" t="s">
        <v>513</v>
      </c>
      <c r="F27" s="8" t="s">
        <v>489</v>
      </c>
      <c r="G27" s="8"/>
    </row>
    <row r="28" customFormat="false" ht="15" hidden="false" customHeight="true" outlineLevel="0" collapsed="false">
      <c r="A28" s="8" t="s">
        <v>485</v>
      </c>
      <c r="B28" s="8" t="s">
        <v>514</v>
      </c>
      <c r="C28" s="8" t="s">
        <v>395</v>
      </c>
      <c r="D28" s="8" t="s">
        <v>515</v>
      </c>
      <c r="E28" s="8" t="s">
        <v>516</v>
      </c>
      <c r="F28" s="8" t="s">
        <v>489</v>
      </c>
      <c r="G28" s="8"/>
    </row>
    <row r="29" customFormat="false" ht="15" hidden="false" customHeight="true" outlineLevel="0" collapsed="false">
      <c r="A29" s="8" t="s">
        <v>517</v>
      </c>
      <c r="B29" s="8" t="s">
        <v>518</v>
      </c>
      <c r="C29" s="8" t="s">
        <v>75</v>
      </c>
      <c r="D29" s="8" t="s">
        <v>519</v>
      </c>
      <c r="E29" s="8" t="s">
        <v>520</v>
      </c>
      <c r="F29" s="8" t="s">
        <v>489</v>
      </c>
      <c r="G29" s="8"/>
    </row>
    <row r="30" customFormat="false" ht="15" hidden="false" customHeight="true" outlineLevel="0" collapsed="false">
      <c r="A30" s="8" t="s">
        <v>517</v>
      </c>
      <c r="B30" s="8" t="s">
        <v>521</v>
      </c>
      <c r="C30" s="8" t="s">
        <v>75</v>
      </c>
      <c r="D30" s="8" t="s">
        <v>522</v>
      </c>
      <c r="E30" s="8" t="s">
        <v>523</v>
      </c>
      <c r="F30" s="8" t="s">
        <v>489</v>
      </c>
      <c r="G30" s="8"/>
    </row>
    <row r="31" customFormat="false" ht="15" hidden="false" customHeight="true" outlineLevel="0" collapsed="false">
      <c r="A31" s="8" t="s">
        <v>517</v>
      </c>
      <c r="B31" s="8" t="s">
        <v>524</v>
      </c>
      <c r="C31" s="8" t="s">
        <v>75</v>
      </c>
      <c r="D31" s="8" t="s">
        <v>525</v>
      </c>
      <c r="E31" s="8" t="s">
        <v>526</v>
      </c>
      <c r="F31" s="8" t="s">
        <v>489</v>
      </c>
      <c r="G31" s="8"/>
    </row>
    <row r="32" customFormat="false" ht="15" hidden="false" customHeight="true" outlineLevel="0" collapsed="false">
      <c r="A32" s="8" t="s">
        <v>517</v>
      </c>
      <c r="B32" s="8" t="s">
        <v>527</v>
      </c>
      <c r="C32" s="8" t="s">
        <v>75</v>
      </c>
      <c r="D32" s="8" t="s">
        <v>528</v>
      </c>
      <c r="E32" s="8" t="s">
        <v>529</v>
      </c>
      <c r="F32" s="8" t="s">
        <v>489</v>
      </c>
      <c r="G32" s="8"/>
    </row>
    <row r="33" customFormat="false" ht="15" hidden="false" customHeight="true" outlineLevel="0" collapsed="false">
      <c r="A33" s="8" t="s">
        <v>517</v>
      </c>
      <c r="B33" s="8" t="s">
        <v>530</v>
      </c>
      <c r="C33" s="8" t="s">
        <v>75</v>
      </c>
      <c r="D33" s="8" t="s">
        <v>531</v>
      </c>
      <c r="E33" s="8" t="s">
        <v>532</v>
      </c>
      <c r="F33" s="8" t="s">
        <v>489</v>
      </c>
      <c r="G33" s="8"/>
    </row>
  </sheetData>
  <autoFilter ref="A4:G33"/>
  <mergeCells count="1">
    <mergeCell ref="A2:G2"/>
  </mergeCells>
  <conditionalFormatting sqref="F5:F33">
    <cfRule type="cellIs" priority="2" operator="equal" aboveAverage="0" equalAverage="0" bottom="0" percent="0" rank="0" text="" dxfId="8">
      <formula>"Verified"</formula>
    </cfRule>
    <cfRule type="cellIs" priority="3" operator="equal" aboveAverage="0" equalAverage="0" bottom="0" percent="0" rank="0" text="" dxfId="9">
      <formula>"Provisional"</formula>
    </cfRule>
    <cfRule type="cellIs" priority="4" operator="equal" aboveAverage="0" equalAverage="0" bottom="0" percent="0" rank="0" text="" dxfId="10">
      <formula>"Pending AB"</formula>
    </cfRule>
    <cfRule type="cellIs" priority="5" operator="equal" aboveAverage="0" equalAverage="0" bottom="0" percent="0" rank="0" text="" dxfId="9">
      <formula>"To produce"</formula>
    </cfRule>
    <cfRule type="cellIs" priority="6" operator="equal" aboveAverage="0" equalAverage="0" bottom="0" percent="0" rank="0" text="" dxfId="8">
      <formula>"Ready"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14"/>
    <col collapsed="false" customWidth="true" hidden="false" outlineLevel="0" max="4" min="4" style="1" width="16"/>
    <col collapsed="false" customWidth="true" hidden="false" outlineLevel="0" max="5" min="5" style="1" width="20"/>
    <col collapsed="false" customWidth="true" hidden="false" outlineLevel="0" max="6" min="6" style="1" width="9"/>
    <col collapsed="false" customWidth="true" hidden="false" outlineLevel="0" max="8" min="7" style="1" width="13"/>
    <col collapsed="false" customWidth="true" hidden="false" outlineLevel="0" max="9" min="9" style="1" width="14"/>
    <col collapsed="false" customWidth="true" hidden="false" outlineLevel="0" max="11" min="10" style="1" width="55"/>
    <col collapsed="false" customWidth="true" hidden="false" outlineLevel="0" max="12" min="12" style="1" width="9"/>
    <col collapsed="false" customWidth="true" hidden="false" outlineLevel="0" max="13" min="13" style="1" width="22"/>
  </cols>
  <sheetData>
    <row r="1" customFormat="false" ht="51.75" hidden="false" customHeight="true" outlineLevel="0" collapsed="false">
      <c r="A1" s="7" t="s">
        <v>17</v>
      </c>
      <c r="B1" s="7" t="s">
        <v>533</v>
      </c>
      <c r="C1" s="7" t="s">
        <v>534</v>
      </c>
      <c r="D1" s="7" t="s">
        <v>535</v>
      </c>
      <c r="E1" s="7" t="s">
        <v>536</v>
      </c>
      <c r="F1" s="7" t="s">
        <v>537</v>
      </c>
      <c r="G1" s="7" t="s">
        <v>538</v>
      </c>
      <c r="H1" s="7" t="s">
        <v>539</v>
      </c>
      <c r="I1" s="7" t="s">
        <v>540</v>
      </c>
      <c r="J1" s="7" t="s">
        <v>541</v>
      </c>
      <c r="K1" s="7" t="s">
        <v>542</v>
      </c>
      <c r="L1" s="7" t="s">
        <v>543</v>
      </c>
      <c r="M1" s="7" t="s">
        <v>544</v>
      </c>
    </row>
    <row r="2" customFormat="false" ht="39" hidden="false" customHeight="true" outlineLevel="0" collapsed="false">
      <c r="A2" s="8" t="s">
        <v>32</v>
      </c>
      <c r="B2" s="8" t="n">
        <v>70</v>
      </c>
      <c r="C2" s="8" t="n">
        <v>38404582550</v>
      </c>
      <c r="D2" s="8" t="s">
        <v>545</v>
      </c>
      <c r="E2" s="8" t="s">
        <v>546</v>
      </c>
      <c r="F2" s="8" t="s">
        <v>547</v>
      </c>
      <c r="G2" s="8" t="s">
        <v>548</v>
      </c>
      <c r="H2" s="8" t="s">
        <v>549</v>
      </c>
      <c r="I2" s="8" t="s">
        <v>550</v>
      </c>
      <c r="J2" s="8" t="s">
        <v>551</v>
      </c>
      <c r="K2" s="8" t="s">
        <v>552</v>
      </c>
      <c r="L2" s="8" t="n">
        <v>100</v>
      </c>
      <c r="M2" s="8" t="s">
        <v>553</v>
      </c>
    </row>
    <row r="3" customFormat="false" ht="26.25" hidden="false" customHeight="true" outlineLevel="0" collapsed="false">
      <c r="A3" s="8" t="s">
        <v>32</v>
      </c>
      <c r="B3" s="8" t="n">
        <v>70</v>
      </c>
      <c r="C3" s="8" t="n">
        <v>38405003190</v>
      </c>
      <c r="D3" s="8" t="s">
        <v>554</v>
      </c>
      <c r="E3" s="8" t="s">
        <v>555</v>
      </c>
      <c r="F3" s="8" t="s">
        <v>547</v>
      </c>
      <c r="G3" s="8" t="s">
        <v>548</v>
      </c>
      <c r="H3" s="8" t="s">
        <v>549</v>
      </c>
      <c r="I3" s="8" t="s">
        <v>550</v>
      </c>
      <c r="J3" s="8" t="s">
        <v>551</v>
      </c>
      <c r="K3" s="8" t="s">
        <v>551</v>
      </c>
      <c r="L3" s="8" t="n">
        <v>100</v>
      </c>
      <c r="M3" s="8" t="s">
        <v>553</v>
      </c>
    </row>
    <row r="4" customFormat="false" ht="77.25" hidden="false" customHeight="true" outlineLevel="0" collapsed="false">
      <c r="A4" s="8" t="s">
        <v>32</v>
      </c>
      <c r="B4" s="8" t="n">
        <v>70</v>
      </c>
      <c r="C4" s="8" t="n">
        <v>38405111880</v>
      </c>
      <c r="D4" s="8" t="s">
        <v>554</v>
      </c>
      <c r="E4" s="8" t="s">
        <v>556</v>
      </c>
      <c r="F4" s="8" t="s">
        <v>547</v>
      </c>
      <c r="G4" s="8" t="s">
        <v>548</v>
      </c>
      <c r="H4" s="8" t="s">
        <v>549</v>
      </c>
      <c r="I4" s="8" t="s">
        <v>550</v>
      </c>
      <c r="J4" s="8" t="s">
        <v>551</v>
      </c>
      <c r="K4" s="8" t="s">
        <v>557</v>
      </c>
      <c r="L4" s="8" t="n">
        <v>100</v>
      </c>
      <c r="M4" s="8" t="s">
        <v>553</v>
      </c>
    </row>
    <row r="5" customFormat="false" ht="26.25" hidden="false" customHeight="true" outlineLevel="0" collapsed="false">
      <c r="A5" s="8" t="s">
        <v>45</v>
      </c>
      <c r="B5" s="8" t="n">
        <v>71</v>
      </c>
      <c r="C5" s="8" t="n">
        <v>38404584887</v>
      </c>
      <c r="D5" s="8" t="s">
        <v>545</v>
      </c>
      <c r="E5" s="8" t="s">
        <v>546</v>
      </c>
      <c r="F5" s="8" t="s">
        <v>558</v>
      </c>
      <c r="G5" s="8" t="s">
        <v>548</v>
      </c>
      <c r="H5" s="8" t="s">
        <v>549</v>
      </c>
      <c r="I5" s="8" t="s">
        <v>550</v>
      </c>
      <c r="J5" s="8" t="s">
        <v>559</v>
      </c>
      <c r="K5" s="8" t="s">
        <v>551</v>
      </c>
      <c r="L5" s="8" t="n">
        <v>70</v>
      </c>
      <c r="M5" s="8" t="s">
        <v>560</v>
      </c>
    </row>
    <row r="6" customFormat="false" ht="26.25" hidden="false" customHeight="true" outlineLevel="0" collapsed="false">
      <c r="A6" s="8" t="s">
        <v>45</v>
      </c>
      <c r="B6" s="8" t="n">
        <v>71</v>
      </c>
      <c r="C6" s="8" t="n">
        <v>38405012851</v>
      </c>
      <c r="D6" s="8" t="s">
        <v>554</v>
      </c>
      <c r="E6" s="8" t="s">
        <v>561</v>
      </c>
      <c r="F6" s="8" t="s">
        <v>558</v>
      </c>
      <c r="G6" s="8" t="s">
        <v>548</v>
      </c>
      <c r="H6" s="8" t="s">
        <v>549</v>
      </c>
      <c r="I6" s="8" t="s">
        <v>550</v>
      </c>
      <c r="J6" s="8" t="s">
        <v>562</v>
      </c>
      <c r="K6" s="8" t="s">
        <v>551</v>
      </c>
      <c r="L6" s="8" t="n">
        <v>70</v>
      </c>
      <c r="M6" s="8" t="s">
        <v>560</v>
      </c>
    </row>
    <row r="7" customFormat="false" ht="26.25" hidden="false" customHeight="true" outlineLevel="0" collapsed="false">
      <c r="A7" s="8" t="s">
        <v>45</v>
      </c>
      <c r="B7" s="8" t="n">
        <v>71</v>
      </c>
      <c r="C7" s="8" t="n">
        <v>38405121064</v>
      </c>
      <c r="D7" s="8" t="s">
        <v>554</v>
      </c>
      <c r="E7" s="8" t="s">
        <v>563</v>
      </c>
      <c r="F7" s="8" t="s">
        <v>558</v>
      </c>
      <c r="G7" s="8" t="s">
        <v>548</v>
      </c>
      <c r="H7" s="8" t="s">
        <v>549</v>
      </c>
      <c r="I7" s="8" t="s">
        <v>550</v>
      </c>
      <c r="J7" s="8" t="s">
        <v>564</v>
      </c>
      <c r="K7" s="8" t="s">
        <v>551</v>
      </c>
      <c r="L7" s="8" t="n">
        <v>70</v>
      </c>
      <c r="M7" s="8" t="s">
        <v>560</v>
      </c>
    </row>
    <row r="8" customFormat="false" ht="26.25" hidden="false" customHeight="true" outlineLevel="0" collapsed="false">
      <c r="A8" s="8" t="s">
        <v>58</v>
      </c>
      <c r="B8" s="8" t="n">
        <v>72</v>
      </c>
      <c r="C8" s="8" t="n">
        <v>38404589228</v>
      </c>
      <c r="D8" s="8" t="s">
        <v>545</v>
      </c>
      <c r="E8" s="8" t="s">
        <v>565</v>
      </c>
      <c r="F8" s="8" t="s">
        <v>566</v>
      </c>
      <c r="G8" s="8" t="s">
        <v>548</v>
      </c>
      <c r="H8" s="8" t="s">
        <v>549</v>
      </c>
      <c r="I8" s="8" t="s">
        <v>550</v>
      </c>
      <c r="J8" s="8" t="s">
        <v>567</v>
      </c>
      <c r="K8" s="8" t="s">
        <v>551</v>
      </c>
      <c r="L8" s="8" t="n">
        <v>70</v>
      </c>
      <c r="M8" s="8" t="s">
        <v>560</v>
      </c>
    </row>
    <row r="9" customFormat="false" ht="26.25" hidden="false" customHeight="true" outlineLevel="0" collapsed="false">
      <c r="A9" s="8" t="s">
        <v>58</v>
      </c>
      <c r="B9" s="8" t="n">
        <v>72</v>
      </c>
      <c r="C9" s="8" t="n">
        <v>38405022162</v>
      </c>
      <c r="D9" s="8" t="s">
        <v>554</v>
      </c>
      <c r="E9" s="8" t="s">
        <v>568</v>
      </c>
      <c r="F9" s="8" t="s">
        <v>566</v>
      </c>
      <c r="G9" s="8" t="s">
        <v>548</v>
      </c>
      <c r="H9" s="8" t="s">
        <v>549</v>
      </c>
      <c r="I9" s="8" t="s">
        <v>550</v>
      </c>
      <c r="J9" s="8" t="s">
        <v>569</v>
      </c>
      <c r="K9" s="8" t="s">
        <v>551</v>
      </c>
      <c r="L9" s="8" t="n">
        <v>70</v>
      </c>
      <c r="M9" s="8" t="s">
        <v>560</v>
      </c>
    </row>
    <row r="10" customFormat="false" ht="77.25" hidden="false" customHeight="true" outlineLevel="0" collapsed="false">
      <c r="A10" s="8" t="s">
        <v>58</v>
      </c>
      <c r="B10" s="8" t="n">
        <v>72</v>
      </c>
      <c r="C10" s="8" t="n">
        <v>38405130215</v>
      </c>
      <c r="D10" s="8" t="s">
        <v>554</v>
      </c>
      <c r="E10" s="8" t="s">
        <v>570</v>
      </c>
      <c r="F10" s="8" t="s">
        <v>566</v>
      </c>
      <c r="G10" s="8" t="s">
        <v>548</v>
      </c>
      <c r="H10" s="8" t="s">
        <v>549</v>
      </c>
      <c r="I10" s="8" t="s">
        <v>550</v>
      </c>
      <c r="J10" s="8" t="s">
        <v>571</v>
      </c>
      <c r="K10" s="8" t="s">
        <v>551</v>
      </c>
      <c r="L10" s="8" t="n">
        <v>40</v>
      </c>
      <c r="M10" s="8" t="s">
        <v>572</v>
      </c>
    </row>
    <row r="11" customFormat="false" ht="39" hidden="false" customHeight="true" outlineLevel="0" collapsed="false">
      <c r="A11" s="8" t="s">
        <v>68</v>
      </c>
      <c r="B11" s="8" t="n">
        <v>73</v>
      </c>
      <c r="C11" s="8" t="n">
        <v>38404592498</v>
      </c>
      <c r="D11" s="8" t="s">
        <v>545</v>
      </c>
      <c r="E11" s="8" t="s">
        <v>573</v>
      </c>
      <c r="F11" s="8" t="s">
        <v>574</v>
      </c>
      <c r="G11" s="8" t="s">
        <v>548</v>
      </c>
      <c r="H11" s="8" t="s">
        <v>549</v>
      </c>
      <c r="I11" s="8" t="s">
        <v>550</v>
      </c>
      <c r="J11" s="8" t="s">
        <v>575</v>
      </c>
      <c r="K11" s="8" t="s">
        <v>551</v>
      </c>
      <c r="L11" s="8" t="n">
        <v>70</v>
      </c>
      <c r="M11" s="8" t="s">
        <v>560</v>
      </c>
    </row>
    <row r="12" customFormat="false" ht="39" hidden="false" customHeight="true" outlineLevel="0" collapsed="false">
      <c r="A12" s="8" t="s">
        <v>68</v>
      </c>
      <c r="B12" s="8" t="n">
        <v>73</v>
      </c>
      <c r="C12" s="8" t="n">
        <v>38405031009</v>
      </c>
      <c r="D12" s="8" t="s">
        <v>554</v>
      </c>
      <c r="E12" s="8" t="s">
        <v>576</v>
      </c>
      <c r="F12" s="8" t="s">
        <v>574</v>
      </c>
      <c r="G12" s="8" t="s">
        <v>548</v>
      </c>
      <c r="H12" s="8" t="s">
        <v>549</v>
      </c>
      <c r="I12" s="8" t="s">
        <v>550</v>
      </c>
      <c r="J12" s="8" t="s">
        <v>577</v>
      </c>
      <c r="K12" s="8" t="s">
        <v>551</v>
      </c>
      <c r="L12" s="8" t="n">
        <v>70</v>
      </c>
      <c r="M12" s="8" t="s">
        <v>560</v>
      </c>
    </row>
    <row r="13" customFormat="false" ht="26.25" hidden="false" customHeight="true" outlineLevel="0" collapsed="false">
      <c r="A13" s="8" t="s">
        <v>68</v>
      </c>
      <c r="B13" s="8" t="n">
        <v>73</v>
      </c>
      <c r="C13" s="8" t="n">
        <v>38405139458</v>
      </c>
      <c r="D13" s="8" t="s">
        <v>554</v>
      </c>
      <c r="E13" s="8" t="s">
        <v>578</v>
      </c>
      <c r="F13" s="8" t="s">
        <v>574</v>
      </c>
      <c r="G13" s="8" t="s">
        <v>548</v>
      </c>
      <c r="H13" s="8" t="s">
        <v>549</v>
      </c>
      <c r="I13" s="8" t="s">
        <v>550</v>
      </c>
      <c r="J13" s="8" t="s">
        <v>579</v>
      </c>
      <c r="K13" s="8" t="s">
        <v>551</v>
      </c>
      <c r="L13" s="8" t="n">
        <v>70</v>
      </c>
      <c r="M13" s="8" t="s">
        <v>560</v>
      </c>
    </row>
    <row r="14" customFormat="false" ht="26.25" hidden="false" customHeight="true" outlineLevel="0" collapsed="false">
      <c r="A14" s="8" t="s">
        <v>78</v>
      </c>
      <c r="B14" s="8" t="n">
        <v>74</v>
      </c>
      <c r="C14" s="8" t="n">
        <v>38404594354</v>
      </c>
      <c r="D14" s="8" t="s">
        <v>545</v>
      </c>
      <c r="E14" s="8" t="s">
        <v>580</v>
      </c>
      <c r="F14" s="8" t="s">
        <v>581</v>
      </c>
      <c r="G14" s="8" t="s">
        <v>548</v>
      </c>
      <c r="H14" s="8" t="s">
        <v>549</v>
      </c>
      <c r="I14" s="8" t="s">
        <v>550</v>
      </c>
      <c r="J14" s="8" t="s">
        <v>582</v>
      </c>
      <c r="K14" s="8" t="s">
        <v>583</v>
      </c>
      <c r="L14" s="8" t="n">
        <v>70</v>
      </c>
      <c r="M14" s="8" t="s">
        <v>560</v>
      </c>
    </row>
    <row r="15" customFormat="false" ht="26.25" hidden="false" customHeight="true" outlineLevel="0" collapsed="false">
      <c r="A15" s="8" t="s">
        <v>78</v>
      </c>
      <c r="B15" s="8" t="n">
        <v>74</v>
      </c>
      <c r="C15" s="8" t="n">
        <v>38405039302</v>
      </c>
      <c r="D15" s="8" t="s">
        <v>554</v>
      </c>
      <c r="E15" s="8" t="s">
        <v>584</v>
      </c>
      <c r="F15" s="8" t="s">
        <v>581</v>
      </c>
      <c r="G15" s="8" t="s">
        <v>548</v>
      </c>
      <c r="H15" s="8" t="s">
        <v>549</v>
      </c>
      <c r="I15" s="8" t="s">
        <v>550</v>
      </c>
      <c r="J15" s="8" t="s">
        <v>585</v>
      </c>
      <c r="K15" s="8" t="s">
        <v>586</v>
      </c>
      <c r="L15" s="8" t="n">
        <v>70</v>
      </c>
      <c r="M15" s="8" t="s">
        <v>560</v>
      </c>
    </row>
    <row r="16" customFormat="false" ht="26.25" hidden="false" customHeight="true" outlineLevel="0" collapsed="false">
      <c r="A16" s="8" t="s">
        <v>78</v>
      </c>
      <c r="B16" s="8" t="n">
        <v>74</v>
      </c>
      <c r="C16" s="8" t="n">
        <v>38405149036</v>
      </c>
      <c r="D16" s="8" t="s">
        <v>554</v>
      </c>
      <c r="E16" s="8" t="s">
        <v>587</v>
      </c>
      <c r="F16" s="8" t="s">
        <v>581</v>
      </c>
      <c r="G16" s="8" t="s">
        <v>548</v>
      </c>
      <c r="H16" s="8" t="s">
        <v>549</v>
      </c>
      <c r="I16" s="8" t="s">
        <v>550</v>
      </c>
      <c r="J16" s="8" t="s">
        <v>588</v>
      </c>
      <c r="K16" s="8" t="s">
        <v>589</v>
      </c>
      <c r="L16" s="8" t="n">
        <v>85</v>
      </c>
      <c r="M16" s="8" t="s">
        <v>553</v>
      </c>
    </row>
    <row r="17" customFormat="false" ht="26.25" hidden="false" customHeight="true" outlineLevel="0" collapsed="false">
      <c r="A17" s="8" t="s">
        <v>87</v>
      </c>
      <c r="B17" s="8" t="n">
        <v>75</v>
      </c>
      <c r="C17" s="8" t="n">
        <v>38404596950</v>
      </c>
      <c r="D17" s="8" t="s">
        <v>545</v>
      </c>
      <c r="E17" s="8" t="s">
        <v>590</v>
      </c>
      <c r="F17" s="8" t="s">
        <v>591</v>
      </c>
      <c r="G17" s="8" t="s">
        <v>548</v>
      </c>
      <c r="H17" s="8" t="s">
        <v>549</v>
      </c>
      <c r="I17" s="8" t="s">
        <v>550</v>
      </c>
      <c r="J17" s="8" t="s">
        <v>592</v>
      </c>
      <c r="K17" s="8" t="s">
        <v>551</v>
      </c>
      <c r="L17" s="8" t="n">
        <v>85</v>
      </c>
      <c r="M17" s="8" t="s">
        <v>553</v>
      </c>
    </row>
    <row r="18" customFormat="false" ht="26.25" hidden="false" customHeight="true" outlineLevel="0" collapsed="false">
      <c r="A18" s="8" t="s">
        <v>87</v>
      </c>
      <c r="B18" s="8" t="n">
        <v>75</v>
      </c>
      <c r="C18" s="8" t="n">
        <v>38405047995</v>
      </c>
      <c r="D18" s="8" t="s">
        <v>554</v>
      </c>
      <c r="E18" s="8" t="s">
        <v>593</v>
      </c>
      <c r="F18" s="8" t="s">
        <v>591</v>
      </c>
      <c r="G18" s="8" t="s">
        <v>548</v>
      </c>
      <c r="H18" s="8" t="s">
        <v>549</v>
      </c>
      <c r="I18" s="8" t="s">
        <v>550</v>
      </c>
      <c r="J18" s="8" t="s">
        <v>594</v>
      </c>
      <c r="K18" s="8" t="s">
        <v>551</v>
      </c>
      <c r="L18" s="8" t="n">
        <v>85</v>
      </c>
      <c r="M18" s="8" t="s">
        <v>553</v>
      </c>
    </row>
    <row r="19" customFormat="false" ht="26.25" hidden="false" customHeight="true" outlineLevel="0" collapsed="false">
      <c r="A19" s="8" t="s">
        <v>87</v>
      </c>
      <c r="B19" s="8" t="n">
        <v>75</v>
      </c>
      <c r="C19" s="8" t="n">
        <v>38405157604</v>
      </c>
      <c r="D19" s="8" t="s">
        <v>554</v>
      </c>
      <c r="E19" s="8" t="s">
        <v>595</v>
      </c>
      <c r="F19" s="8" t="s">
        <v>591</v>
      </c>
      <c r="G19" s="8" t="s">
        <v>548</v>
      </c>
      <c r="H19" s="8" t="s">
        <v>549</v>
      </c>
      <c r="I19" s="8" t="s">
        <v>550</v>
      </c>
      <c r="J19" s="8" t="s">
        <v>596</v>
      </c>
      <c r="K19" s="8" t="s">
        <v>551</v>
      </c>
      <c r="L19" s="8" t="n">
        <v>85</v>
      </c>
      <c r="M19" s="8" t="s">
        <v>553</v>
      </c>
    </row>
    <row r="20" customFormat="false" ht="64.5" hidden="false" customHeight="true" outlineLevel="0" collapsed="false">
      <c r="A20" s="8" t="s">
        <v>96</v>
      </c>
      <c r="B20" s="8" t="n">
        <v>76</v>
      </c>
      <c r="C20" s="8" t="n">
        <v>38404600206</v>
      </c>
      <c r="D20" s="8" t="s">
        <v>545</v>
      </c>
      <c r="E20" s="8" t="s">
        <v>590</v>
      </c>
      <c r="F20" s="8" t="s">
        <v>597</v>
      </c>
      <c r="G20" s="8" t="s">
        <v>548</v>
      </c>
      <c r="H20" s="8" t="s">
        <v>549</v>
      </c>
      <c r="I20" s="8" t="s">
        <v>550</v>
      </c>
      <c r="J20" s="8" t="s">
        <v>598</v>
      </c>
      <c r="K20" s="8" t="s">
        <v>599</v>
      </c>
      <c r="L20" s="8" t="n">
        <v>65</v>
      </c>
      <c r="M20" s="8" t="s">
        <v>572</v>
      </c>
    </row>
    <row r="21" customFormat="false" ht="51.75" hidden="false" customHeight="true" outlineLevel="0" collapsed="false">
      <c r="A21" s="8" t="s">
        <v>96</v>
      </c>
      <c r="B21" s="8" t="n">
        <v>76</v>
      </c>
      <c r="C21" s="8" t="n">
        <v>38405057461</v>
      </c>
      <c r="D21" s="8" t="s">
        <v>554</v>
      </c>
      <c r="E21" s="8" t="s">
        <v>600</v>
      </c>
      <c r="F21" s="8" t="s">
        <v>597</v>
      </c>
      <c r="G21" s="8" t="s">
        <v>548</v>
      </c>
      <c r="H21" s="8" t="s">
        <v>549</v>
      </c>
      <c r="I21" s="8" t="s">
        <v>550</v>
      </c>
      <c r="J21" s="8" t="s">
        <v>601</v>
      </c>
      <c r="K21" s="8" t="s">
        <v>602</v>
      </c>
      <c r="L21" s="8" t="n">
        <v>65</v>
      </c>
      <c r="M21" s="8" t="s">
        <v>572</v>
      </c>
    </row>
    <row r="22" customFormat="false" ht="51.75" hidden="false" customHeight="true" outlineLevel="0" collapsed="false">
      <c r="A22" s="8" t="s">
        <v>96</v>
      </c>
      <c r="B22" s="8" t="n">
        <v>76</v>
      </c>
      <c r="C22" s="8" t="n">
        <v>38405166219</v>
      </c>
      <c r="D22" s="8" t="s">
        <v>554</v>
      </c>
      <c r="E22" s="8" t="s">
        <v>603</v>
      </c>
      <c r="F22" s="8" t="s">
        <v>597</v>
      </c>
      <c r="G22" s="8" t="s">
        <v>548</v>
      </c>
      <c r="H22" s="8" t="s">
        <v>549</v>
      </c>
      <c r="I22" s="8" t="s">
        <v>550</v>
      </c>
      <c r="J22" s="8" t="s">
        <v>604</v>
      </c>
      <c r="K22" s="8" t="s">
        <v>605</v>
      </c>
      <c r="L22" s="8" t="n">
        <v>65</v>
      </c>
      <c r="M22" s="8" t="s">
        <v>572</v>
      </c>
    </row>
    <row r="23" customFormat="false" ht="51.75" hidden="false" customHeight="true" outlineLevel="0" collapsed="false">
      <c r="A23" s="8" t="s">
        <v>106</v>
      </c>
      <c r="B23" s="8" t="n">
        <v>77</v>
      </c>
      <c r="C23" s="8" t="n">
        <v>38404605125</v>
      </c>
      <c r="D23" s="8" t="s">
        <v>545</v>
      </c>
      <c r="E23" s="8" t="s">
        <v>606</v>
      </c>
      <c r="F23" s="8" t="s">
        <v>607</v>
      </c>
      <c r="G23" s="8" t="s">
        <v>548</v>
      </c>
      <c r="H23" s="8" t="s">
        <v>549</v>
      </c>
      <c r="I23" s="8" t="s">
        <v>608</v>
      </c>
      <c r="J23" s="8" t="s">
        <v>75</v>
      </c>
      <c r="K23" s="8" t="s">
        <v>609</v>
      </c>
      <c r="L23" s="8" t="s">
        <v>75</v>
      </c>
      <c r="M23" s="8" t="s">
        <v>75</v>
      </c>
    </row>
    <row r="24" customFormat="false" ht="90" hidden="false" customHeight="true" outlineLevel="0" collapsed="false">
      <c r="A24" s="8" t="s">
        <v>106</v>
      </c>
      <c r="B24" s="8" t="n">
        <v>77</v>
      </c>
      <c r="C24" s="8" t="n">
        <v>38405066857</v>
      </c>
      <c r="D24" s="8" t="s">
        <v>554</v>
      </c>
      <c r="E24" s="8" t="s">
        <v>610</v>
      </c>
      <c r="F24" s="8" t="s">
        <v>607</v>
      </c>
      <c r="G24" s="8" t="s">
        <v>548</v>
      </c>
      <c r="H24" s="8" t="s">
        <v>549</v>
      </c>
      <c r="I24" s="8" t="s">
        <v>550</v>
      </c>
      <c r="J24" s="8" t="s">
        <v>551</v>
      </c>
      <c r="K24" s="8" t="s">
        <v>611</v>
      </c>
      <c r="L24" s="8" t="n">
        <v>100</v>
      </c>
      <c r="M24" s="8" t="s">
        <v>553</v>
      </c>
    </row>
    <row r="25" customFormat="false" ht="39" hidden="false" customHeight="true" outlineLevel="0" collapsed="false">
      <c r="A25" s="8" t="s">
        <v>106</v>
      </c>
      <c r="B25" s="8" t="n">
        <v>77</v>
      </c>
      <c r="C25" s="8" t="n">
        <v>38405174844</v>
      </c>
      <c r="D25" s="8" t="s">
        <v>554</v>
      </c>
      <c r="E25" s="8" t="s">
        <v>612</v>
      </c>
      <c r="F25" s="8" t="s">
        <v>607</v>
      </c>
      <c r="G25" s="8" t="s">
        <v>548</v>
      </c>
      <c r="H25" s="8" t="s">
        <v>549</v>
      </c>
      <c r="I25" s="8" t="s">
        <v>550</v>
      </c>
      <c r="J25" s="8" t="s">
        <v>551</v>
      </c>
      <c r="K25" s="8" t="s">
        <v>613</v>
      </c>
      <c r="L25" s="8" t="n">
        <v>100</v>
      </c>
      <c r="M25" s="8" t="s">
        <v>553</v>
      </c>
    </row>
    <row r="26" customFormat="false" ht="26.25" hidden="false" customHeight="true" outlineLevel="0" collapsed="false">
      <c r="A26" s="8" t="s">
        <v>106</v>
      </c>
      <c r="B26" s="8" t="n">
        <v>77</v>
      </c>
      <c r="C26" s="8" t="n">
        <v>38405218950</v>
      </c>
      <c r="D26" s="8" t="s">
        <v>554</v>
      </c>
      <c r="E26" s="8" t="s">
        <v>614</v>
      </c>
      <c r="F26" s="8" t="s">
        <v>607</v>
      </c>
      <c r="G26" s="8" t="s">
        <v>548</v>
      </c>
      <c r="H26" s="8" t="s">
        <v>549</v>
      </c>
      <c r="I26" s="8" t="s">
        <v>550</v>
      </c>
      <c r="J26" s="8" t="s">
        <v>615</v>
      </c>
      <c r="K26" s="8" t="s">
        <v>551</v>
      </c>
      <c r="L26" s="8" t="n">
        <v>85</v>
      </c>
      <c r="M26" s="8" t="s">
        <v>553</v>
      </c>
    </row>
    <row r="27" customFormat="false" ht="39" hidden="false" customHeight="true" outlineLevel="0" collapsed="false">
      <c r="A27" s="8" t="s">
        <v>115</v>
      </c>
      <c r="B27" s="8" t="n">
        <v>78</v>
      </c>
      <c r="C27" s="8" t="n">
        <v>38404607277</v>
      </c>
      <c r="D27" s="8" t="s">
        <v>545</v>
      </c>
      <c r="E27" s="8" t="s">
        <v>616</v>
      </c>
      <c r="F27" s="8" t="s">
        <v>617</v>
      </c>
      <c r="G27" s="8" t="s">
        <v>548</v>
      </c>
      <c r="H27" s="8" t="s">
        <v>549</v>
      </c>
      <c r="I27" s="8" t="s">
        <v>550</v>
      </c>
      <c r="J27" s="8" t="s">
        <v>618</v>
      </c>
      <c r="K27" s="8" t="s">
        <v>551</v>
      </c>
      <c r="L27" s="8" t="n">
        <v>85</v>
      </c>
      <c r="M27" s="8" t="s">
        <v>553</v>
      </c>
    </row>
    <row r="28" customFormat="false" ht="39" hidden="false" customHeight="true" outlineLevel="0" collapsed="false">
      <c r="A28" s="8" t="s">
        <v>115</v>
      </c>
      <c r="B28" s="8" t="n">
        <v>78</v>
      </c>
      <c r="C28" s="8" t="n">
        <v>38405075984</v>
      </c>
      <c r="D28" s="8" t="s">
        <v>554</v>
      </c>
      <c r="E28" s="8" t="s">
        <v>619</v>
      </c>
      <c r="F28" s="8" t="s">
        <v>617</v>
      </c>
      <c r="G28" s="8" t="s">
        <v>548</v>
      </c>
      <c r="H28" s="8" t="s">
        <v>549</v>
      </c>
      <c r="I28" s="8" t="s">
        <v>550</v>
      </c>
      <c r="J28" s="8" t="s">
        <v>620</v>
      </c>
      <c r="K28" s="8" t="s">
        <v>551</v>
      </c>
      <c r="L28" s="8" t="n">
        <v>85</v>
      </c>
      <c r="M28" s="8" t="s">
        <v>553</v>
      </c>
    </row>
    <row r="29" customFormat="false" ht="26.25" hidden="false" customHeight="true" outlineLevel="0" collapsed="false">
      <c r="A29" s="8" t="s">
        <v>115</v>
      </c>
      <c r="B29" s="8" t="n">
        <v>78</v>
      </c>
      <c r="C29" s="8" t="n">
        <v>38405183161</v>
      </c>
      <c r="D29" s="8" t="s">
        <v>554</v>
      </c>
      <c r="E29" s="8" t="s">
        <v>621</v>
      </c>
      <c r="F29" s="8" t="s">
        <v>617</v>
      </c>
      <c r="G29" s="8" t="s">
        <v>548</v>
      </c>
      <c r="H29" s="8" t="s">
        <v>549</v>
      </c>
      <c r="I29" s="8" t="s">
        <v>550</v>
      </c>
      <c r="J29" s="8" t="s">
        <v>622</v>
      </c>
      <c r="K29" s="8" t="s">
        <v>551</v>
      </c>
      <c r="L29" s="8" t="n">
        <v>85</v>
      </c>
      <c r="M29" s="8" t="s">
        <v>553</v>
      </c>
    </row>
    <row r="30" customFormat="false" ht="64.5" hidden="false" customHeight="true" outlineLevel="0" collapsed="false">
      <c r="A30" s="8" t="s">
        <v>123</v>
      </c>
      <c r="B30" s="8" t="n">
        <v>79</v>
      </c>
      <c r="C30" s="8" t="n">
        <v>38404612132</v>
      </c>
      <c r="D30" s="8" t="s">
        <v>545</v>
      </c>
      <c r="E30" s="8" t="s">
        <v>623</v>
      </c>
      <c r="F30" s="8" t="s">
        <v>624</v>
      </c>
      <c r="G30" s="8" t="s">
        <v>548</v>
      </c>
      <c r="H30" s="8" t="s">
        <v>549</v>
      </c>
      <c r="I30" s="8" t="s">
        <v>550</v>
      </c>
      <c r="J30" s="8" t="s">
        <v>625</v>
      </c>
      <c r="K30" s="8" t="s">
        <v>551</v>
      </c>
      <c r="L30" s="8" t="n">
        <v>65</v>
      </c>
      <c r="M30" s="8" t="s">
        <v>572</v>
      </c>
    </row>
    <row r="31" customFormat="false" ht="39" hidden="false" customHeight="true" outlineLevel="0" collapsed="false">
      <c r="A31" s="8" t="s">
        <v>123</v>
      </c>
      <c r="B31" s="8" t="n">
        <v>79</v>
      </c>
      <c r="C31" s="8" t="n">
        <v>38405084901</v>
      </c>
      <c r="D31" s="8" t="s">
        <v>554</v>
      </c>
      <c r="E31" s="8" t="s">
        <v>626</v>
      </c>
      <c r="F31" s="8" t="s">
        <v>624</v>
      </c>
      <c r="G31" s="8" t="s">
        <v>548</v>
      </c>
      <c r="H31" s="8" t="s">
        <v>549</v>
      </c>
      <c r="I31" s="8" t="s">
        <v>550</v>
      </c>
      <c r="J31" s="8" t="s">
        <v>627</v>
      </c>
      <c r="K31" s="8" t="s">
        <v>551</v>
      </c>
      <c r="L31" s="8" t="n">
        <v>70</v>
      </c>
      <c r="M31" s="8" t="s">
        <v>560</v>
      </c>
    </row>
    <row r="32" customFormat="false" ht="64.5" hidden="false" customHeight="true" outlineLevel="0" collapsed="false">
      <c r="A32" s="8" t="s">
        <v>123</v>
      </c>
      <c r="B32" s="8" t="n">
        <v>79</v>
      </c>
      <c r="C32" s="8" t="n">
        <v>38405192342</v>
      </c>
      <c r="D32" s="8" t="s">
        <v>554</v>
      </c>
      <c r="E32" s="8" t="s">
        <v>628</v>
      </c>
      <c r="F32" s="8" t="s">
        <v>624</v>
      </c>
      <c r="G32" s="8" t="s">
        <v>548</v>
      </c>
      <c r="H32" s="8" t="s">
        <v>549</v>
      </c>
      <c r="I32" s="8" t="s">
        <v>550</v>
      </c>
      <c r="J32" s="8" t="s">
        <v>629</v>
      </c>
      <c r="K32" s="8" t="s">
        <v>551</v>
      </c>
      <c r="L32" s="8" t="n">
        <v>65</v>
      </c>
      <c r="M32" s="8" t="s">
        <v>572</v>
      </c>
    </row>
    <row r="33" customFormat="false" ht="39" hidden="false" customHeight="true" outlineLevel="0" collapsed="false">
      <c r="A33" s="8" t="s">
        <v>132</v>
      </c>
      <c r="B33" s="8" t="n">
        <v>80</v>
      </c>
      <c r="C33" s="8" t="n">
        <v>38404613836</v>
      </c>
      <c r="D33" s="8" t="s">
        <v>545</v>
      </c>
      <c r="E33" s="8" t="s">
        <v>630</v>
      </c>
      <c r="F33" s="8" t="s">
        <v>631</v>
      </c>
      <c r="G33" s="8" t="s">
        <v>548</v>
      </c>
      <c r="H33" s="8" t="s">
        <v>549</v>
      </c>
      <c r="I33" s="8" t="s">
        <v>550</v>
      </c>
      <c r="J33" s="8" t="s">
        <v>632</v>
      </c>
      <c r="K33" s="8" t="s">
        <v>551</v>
      </c>
      <c r="L33" s="8" t="n">
        <v>70</v>
      </c>
      <c r="M33" s="8" t="s">
        <v>560</v>
      </c>
    </row>
    <row r="34" customFormat="false" ht="39" hidden="false" customHeight="true" outlineLevel="0" collapsed="false">
      <c r="A34" s="8" t="s">
        <v>132</v>
      </c>
      <c r="B34" s="8" t="n">
        <v>80</v>
      </c>
      <c r="C34" s="8" t="n">
        <v>38405093864</v>
      </c>
      <c r="D34" s="8" t="s">
        <v>554</v>
      </c>
      <c r="E34" s="8" t="s">
        <v>633</v>
      </c>
      <c r="F34" s="8" t="s">
        <v>631</v>
      </c>
      <c r="G34" s="8" t="s">
        <v>548</v>
      </c>
      <c r="H34" s="8" t="s">
        <v>549</v>
      </c>
      <c r="I34" s="8" t="s">
        <v>550</v>
      </c>
      <c r="J34" s="8" t="s">
        <v>634</v>
      </c>
      <c r="K34" s="8" t="s">
        <v>551</v>
      </c>
      <c r="L34" s="8" t="n">
        <v>70</v>
      </c>
      <c r="M34" s="8" t="s">
        <v>560</v>
      </c>
    </row>
    <row r="35" customFormat="false" ht="39" hidden="false" customHeight="true" outlineLevel="0" collapsed="false">
      <c r="A35" s="8" t="s">
        <v>132</v>
      </c>
      <c r="B35" s="8" t="n">
        <v>80</v>
      </c>
      <c r="C35" s="8" t="n">
        <v>38405200842</v>
      </c>
      <c r="D35" s="8" t="s">
        <v>554</v>
      </c>
      <c r="E35" s="8" t="s">
        <v>635</v>
      </c>
      <c r="F35" s="8" t="s">
        <v>631</v>
      </c>
      <c r="G35" s="8" t="s">
        <v>548</v>
      </c>
      <c r="H35" s="8" t="s">
        <v>549</v>
      </c>
      <c r="I35" s="8" t="s">
        <v>550</v>
      </c>
      <c r="J35" s="8" t="s">
        <v>636</v>
      </c>
      <c r="K35" s="8" t="s">
        <v>551</v>
      </c>
      <c r="L35" s="8" t="n">
        <v>70</v>
      </c>
      <c r="M35" s="8" t="s">
        <v>560</v>
      </c>
    </row>
    <row r="36" customFormat="false" ht="90" hidden="false" customHeight="true" outlineLevel="0" collapsed="false">
      <c r="A36" s="8" t="s">
        <v>139</v>
      </c>
      <c r="B36" s="8" t="n">
        <v>81</v>
      </c>
      <c r="C36" s="8" t="n">
        <v>38404619147</v>
      </c>
      <c r="D36" s="8" t="s">
        <v>545</v>
      </c>
      <c r="E36" s="8" t="s">
        <v>637</v>
      </c>
      <c r="F36" s="8" t="s">
        <v>638</v>
      </c>
      <c r="G36" s="8" t="s">
        <v>548</v>
      </c>
      <c r="H36" s="8" t="s">
        <v>549</v>
      </c>
      <c r="I36" s="8" t="s">
        <v>550</v>
      </c>
      <c r="J36" s="8" t="s">
        <v>639</v>
      </c>
      <c r="K36" s="8" t="s">
        <v>551</v>
      </c>
      <c r="L36" s="8" t="n">
        <v>50</v>
      </c>
      <c r="M36" s="8" t="s">
        <v>572</v>
      </c>
    </row>
    <row r="37" customFormat="false" ht="26.25" hidden="false" customHeight="true" outlineLevel="0" collapsed="false">
      <c r="A37" s="8" t="s">
        <v>139</v>
      </c>
      <c r="B37" s="8" t="n">
        <v>81</v>
      </c>
      <c r="C37" s="8" t="n">
        <v>38405103514</v>
      </c>
      <c r="D37" s="8" t="s">
        <v>554</v>
      </c>
      <c r="E37" s="8" t="s">
        <v>640</v>
      </c>
      <c r="F37" s="8" t="s">
        <v>638</v>
      </c>
      <c r="G37" s="8" t="s">
        <v>548</v>
      </c>
      <c r="H37" s="8" t="s">
        <v>549</v>
      </c>
      <c r="I37" s="8" t="s">
        <v>550</v>
      </c>
      <c r="J37" s="8" t="s">
        <v>641</v>
      </c>
      <c r="K37" s="8" t="s">
        <v>642</v>
      </c>
      <c r="L37" s="8" t="n">
        <v>95</v>
      </c>
      <c r="M37" s="8" t="s">
        <v>553</v>
      </c>
    </row>
    <row r="38" customFormat="false" ht="90" hidden="false" customHeight="true" outlineLevel="0" collapsed="false">
      <c r="A38" s="8" t="s">
        <v>139</v>
      </c>
      <c r="B38" s="8" t="n">
        <v>81</v>
      </c>
      <c r="C38" s="8" t="n">
        <v>38405210047</v>
      </c>
      <c r="D38" s="8" t="s">
        <v>554</v>
      </c>
      <c r="E38" s="8" t="s">
        <v>643</v>
      </c>
      <c r="F38" s="8" t="s">
        <v>638</v>
      </c>
      <c r="G38" s="8" t="s">
        <v>548</v>
      </c>
      <c r="H38" s="8" t="s">
        <v>549</v>
      </c>
      <c r="I38" s="8" t="s">
        <v>550</v>
      </c>
      <c r="J38" s="8" t="s">
        <v>551</v>
      </c>
      <c r="K38" s="8" t="s">
        <v>644</v>
      </c>
      <c r="L38" s="8" t="n">
        <v>100</v>
      </c>
      <c r="M38" s="8" t="s">
        <v>553</v>
      </c>
    </row>
    <row r="40" customFormat="false" ht="15" hidden="false" customHeight="true" outlineLevel="0" collapsed="false">
      <c r="A40" s="23" t="s">
        <v>645</v>
      </c>
    </row>
  </sheetData>
  <autoFilter ref="A1:M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
    <col collapsed="false" customWidth="true" hidden="false" outlineLevel="0" max="4" min="3" style="1" width="13"/>
    <col collapsed="false" customWidth="true" hidden="false" outlineLevel="0" max="5" min="5" style="1" width="10"/>
    <col collapsed="false" customWidth="true" hidden="false" outlineLevel="0" max="6" min="6" style="1" width="8"/>
    <col collapsed="false" customWidth="true" hidden="false" outlineLevel="0" max="8" min="7" style="1" width="10"/>
    <col collapsed="false" customWidth="true" hidden="false" outlineLevel="0" max="9" min="9" style="1" width="8"/>
    <col collapsed="false" customWidth="true" hidden="false" outlineLevel="0" max="11" min="10" style="1" width="10"/>
    <col collapsed="false" customWidth="true" hidden="false" outlineLevel="0" max="12" min="12" style="1" width="22"/>
  </cols>
  <sheetData>
    <row r="1" customFormat="false" ht="17.25" hidden="false" customHeight="true" outlineLevel="0" collapsed="false">
      <c r="A1" s="13" t="s">
        <v>646</v>
      </c>
    </row>
    <row r="2" customFormat="false" ht="30" hidden="false" customHeight="true" outlineLevel="0" collapsed="false">
      <c r="A2" s="16" t="s">
        <v>647</v>
      </c>
      <c r="B2" s="16"/>
      <c r="C2" s="16"/>
      <c r="D2" s="16"/>
      <c r="E2" s="16"/>
      <c r="F2" s="16"/>
      <c r="G2" s="16"/>
      <c r="H2" s="16"/>
      <c r="I2" s="16"/>
      <c r="J2" s="16"/>
      <c r="K2" s="16"/>
      <c r="L2" s="16"/>
    </row>
    <row r="4" customFormat="false" ht="51.75" hidden="false" customHeight="true" outlineLevel="0" collapsed="false">
      <c r="A4" s="17" t="s">
        <v>185</v>
      </c>
      <c r="B4" s="17" t="s">
        <v>648</v>
      </c>
      <c r="C4" s="17" t="s">
        <v>534</v>
      </c>
      <c r="D4" s="17" t="s">
        <v>20</v>
      </c>
      <c r="E4" s="17" t="s">
        <v>541</v>
      </c>
      <c r="F4" s="17" t="s">
        <v>649</v>
      </c>
      <c r="G4" s="17" t="s">
        <v>650</v>
      </c>
      <c r="H4" s="17" t="s">
        <v>651</v>
      </c>
      <c r="I4" s="17" t="s">
        <v>549</v>
      </c>
      <c r="J4" s="17" t="s">
        <v>652</v>
      </c>
      <c r="K4" s="17" t="s">
        <v>543</v>
      </c>
      <c r="L4" s="17" t="s">
        <v>653</v>
      </c>
    </row>
    <row r="5" customFormat="false" ht="15" hidden="false" customHeight="true" outlineLevel="0" collapsed="false">
      <c r="A5" s="28" t="s">
        <v>32</v>
      </c>
      <c r="B5" s="28" t="n">
        <v>1</v>
      </c>
      <c r="C5" s="28" t="s">
        <v>654</v>
      </c>
      <c r="D5" s="28" t="s">
        <v>35</v>
      </c>
      <c r="E5" s="28" t="n">
        <f aca="false">COUNTIFS('AI Confirmed Findings'!$C$6:$C$59,C5,'AI Confirmed Findings'!$G$6:$G$59,"&lt;&gt;NONE")</f>
        <v>0</v>
      </c>
      <c r="F5" s="28" t="n">
        <f aca="false">COUNTIFS('AI Confirmed Findings'!$C$6:$C$59,C5,'AI Confirmed Findings'!$G$6:$G$59,"TARGET")</f>
        <v>0</v>
      </c>
      <c r="G5" s="28" t="n">
        <f aca="false">COUNTIFS('AI Confirmed Findings'!$C$6:$C$59,C5,'AI Confirmed Findings'!$G$6:$G$59,"EXTRA-VALID")</f>
        <v>0</v>
      </c>
      <c r="H5" s="28" t="n">
        <f aca="false">COUNTIFS('AI Confirmed Findings'!$C$6:$C$59,C5,'AI Confirmed Findings'!$G$6:$G$59,"DUPLICATE")</f>
        <v>0</v>
      </c>
      <c r="I5" s="28" t="n">
        <f aca="false">COUNTIFS('AI Confirmed Findings'!$C$6:$C$59,C5,'AI Confirmed Findings'!$G$6:$G$59,"FALSE")</f>
        <v>0</v>
      </c>
      <c r="J5" s="28" t="str">
        <f aca="false">IF(D5="Vulnerable",IF(F5&gt;0,"Y","N"),"n/a")</f>
        <v>n/a</v>
      </c>
      <c r="K5" s="29" t="n">
        <f aca="false">'Independent AI Runs'!L2</f>
        <v>100</v>
      </c>
      <c r="L5" s="29" t="str">
        <f aca="false">'Independent AI Runs'!M2</f>
        <v>APPROVE</v>
      </c>
    </row>
    <row r="6" customFormat="false" ht="15" hidden="false" customHeight="true" outlineLevel="0" collapsed="false">
      <c r="A6" s="28" t="s">
        <v>32</v>
      </c>
      <c r="B6" s="28" t="n">
        <v>2</v>
      </c>
      <c r="C6" s="28" t="s">
        <v>655</v>
      </c>
      <c r="D6" s="28" t="s">
        <v>35</v>
      </c>
      <c r="E6" s="28" t="n">
        <f aca="false">COUNTIFS('AI Confirmed Findings'!$C$6:$C$59,C6,'AI Confirmed Findings'!$G$6:$G$59,"&lt;&gt;NONE")</f>
        <v>0</v>
      </c>
      <c r="F6" s="28" t="n">
        <f aca="false">COUNTIFS('AI Confirmed Findings'!$C$6:$C$59,C6,'AI Confirmed Findings'!$G$6:$G$59,"TARGET")</f>
        <v>0</v>
      </c>
      <c r="G6" s="28" t="n">
        <f aca="false">COUNTIFS('AI Confirmed Findings'!$C$6:$C$59,C6,'AI Confirmed Findings'!$G$6:$G$59,"EXTRA-VALID")</f>
        <v>0</v>
      </c>
      <c r="H6" s="28" t="n">
        <f aca="false">COUNTIFS('AI Confirmed Findings'!$C$6:$C$59,C6,'AI Confirmed Findings'!$G$6:$G$59,"DUPLICATE")</f>
        <v>0</v>
      </c>
      <c r="I6" s="28" t="n">
        <f aca="false">COUNTIFS('AI Confirmed Findings'!$C$6:$C$59,C6,'AI Confirmed Findings'!$G$6:$G$59,"FALSE")</f>
        <v>0</v>
      </c>
      <c r="J6" s="28" t="str">
        <f aca="false">IF(D6="Vulnerable",IF(F6&gt;0,"Y","N"),"n/a")</f>
        <v>n/a</v>
      </c>
      <c r="K6" s="29" t="n">
        <f aca="false">'Independent AI Runs'!L3</f>
        <v>100</v>
      </c>
      <c r="L6" s="29" t="str">
        <f aca="false">'Independent AI Runs'!M3</f>
        <v>APPROVE</v>
      </c>
    </row>
    <row r="7" customFormat="false" ht="15" hidden="false" customHeight="true" outlineLevel="0" collapsed="false">
      <c r="A7" s="28" t="s">
        <v>32</v>
      </c>
      <c r="B7" s="28" t="n">
        <v>3</v>
      </c>
      <c r="C7" s="28" t="s">
        <v>656</v>
      </c>
      <c r="D7" s="28" t="s">
        <v>35</v>
      </c>
      <c r="E7" s="28" t="n">
        <f aca="false">COUNTIFS('AI Confirmed Findings'!$C$6:$C$59,C7,'AI Confirmed Findings'!$G$6:$G$59,"&lt;&gt;NONE")</f>
        <v>0</v>
      </c>
      <c r="F7" s="28" t="n">
        <f aca="false">COUNTIFS('AI Confirmed Findings'!$C$6:$C$59,C7,'AI Confirmed Findings'!$G$6:$G$59,"TARGET")</f>
        <v>0</v>
      </c>
      <c r="G7" s="28" t="n">
        <f aca="false">COUNTIFS('AI Confirmed Findings'!$C$6:$C$59,C7,'AI Confirmed Findings'!$G$6:$G$59,"EXTRA-VALID")</f>
        <v>0</v>
      </c>
      <c r="H7" s="28" t="n">
        <f aca="false">COUNTIFS('AI Confirmed Findings'!$C$6:$C$59,C7,'AI Confirmed Findings'!$G$6:$G$59,"DUPLICATE")</f>
        <v>0</v>
      </c>
      <c r="I7" s="28" t="n">
        <f aca="false">COUNTIFS('AI Confirmed Findings'!$C$6:$C$59,C7,'AI Confirmed Findings'!$G$6:$G$59,"FALSE")</f>
        <v>0</v>
      </c>
      <c r="J7" s="28" t="str">
        <f aca="false">IF(D7="Vulnerable",IF(F7&gt;0,"Y","N"),"n/a")</f>
        <v>n/a</v>
      </c>
      <c r="K7" s="29" t="n">
        <f aca="false">'Independent AI Runs'!L4</f>
        <v>100</v>
      </c>
      <c r="L7" s="29" t="str">
        <f aca="false">'Independent AI Runs'!M4</f>
        <v>APPROVE</v>
      </c>
    </row>
    <row r="8" customFormat="false" ht="15" hidden="false" customHeight="true" outlineLevel="0" collapsed="false">
      <c r="A8" s="28" t="s">
        <v>45</v>
      </c>
      <c r="B8" s="28" t="n">
        <v>1</v>
      </c>
      <c r="C8" s="28" t="s">
        <v>657</v>
      </c>
      <c r="D8" s="28" t="s">
        <v>48</v>
      </c>
      <c r="E8" s="28" t="n">
        <f aca="false">COUNTIFS('AI Confirmed Findings'!$C$6:$C$59,C8,'AI Confirmed Findings'!$G$6:$G$59,"&lt;&gt;NONE")</f>
        <v>1</v>
      </c>
      <c r="F8" s="28" t="n">
        <f aca="false">COUNTIFS('AI Confirmed Findings'!$C$6:$C$59,C8,'AI Confirmed Findings'!$G$6:$G$59,"TARGET")</f>
        <v>1</v>
      </c>
      <c r="G8" s="28" t="n">
        <f aca="false">COUNTIFS('AI Confirmed Findings'!$C$6:$C$59,C8,'AI Confirmed Findings'!$G$6:$G$59,"EXTRA-VALID")</f>
        <v>0</v>
      </c>
      <c r="H8" s="28" t="n">
        <f aca="false">COUNTIFS('AI Confirmed Findings'!$C$6:$C$59,C8,'AI Confirmed Findings'!$G$6:$G$59,"DUPLICATE")</f>
        <v>0</v>
      </c>
      <c r="I8" s="28" t="n">
        <f aca="false">COUNTIFS('AI Confirmed Findings'!$C$6:$C$59,C8,'AI Confirmed Findings'!$G$6:$G$59,"FALSE")</f>
        <v>0</v>
      </c>
      <c r="J8" s="28" t="str">
        <f aca="false">IF(D8="Vulnerable",IF(F8&gt;0,"Y","N"),"n/a")</f>
        <v>Y</v>
      </c>
      <c r="K8" s="29" t="n">
        <f aca="false">'Independent AI Runs'!L5</f>
        <v>70</v>
      </c>
      <c r="L8" s="29" t="str">
        <f aca="false">'Independent AI Runs'!M5</f>
        <v>APPROVE_WITH_COMMENTS</v>
      </c>
    </row>
    <row r="9" customFormat="false" ht="15" hidden="false" customHeight="true" outlineLevel="0" collapsed="false">
      <c r="A9" s="28" t="s">
        <v>45</v>
      </c>
      <c r="B9" s="28" t="n">
        <v>2</v>
      </c>
      <c r="C9" s="28" t="s">
        <v>658</v>
      </c>
      <c r="D9" s="28" t="s">
        <v>48</v>
      </c>
      <c r="E9" s="28" t="n">
        <f aca="false">COUNTIFS('AI Confirmed Findings'!$C$6:$C$59,C9,'AI Confirmed Findings'!$G$6:$G$59,"&lt;&gt;NONE")</f>
        <v>1</v>
      </c>
      <c r="F9" s="28" t="n">
        <f aca="false">COUNTIFS('AI Confirmed Findings'!$C$6:$C$59,C9,'AI Confirmed Findings'!$G$6:$G$59,"TARGET")</f>
        <v>1</v>
      </c>
      <c r="G9" s="28" t="n">
        <f aca="false">COUNTIFS('AI Confirmed Findings'!$C$6:$C$59,C9,'AI Confirmed Findings'!$G$6:$G$59,"EXTRA-VALID")</f>
        <v>0</v>
      </c>
      <c r="H9" s="28" t="n">
        <f aca="false">COUNTIFS('AI Confirmed Findings'!$C$6:$C$59,C9,'AI Confirmed Findings'!$G$6:$G$59,"DUPLICATE")</f>
        <v>0</v>
      </c>
      <c r="I9" s="28" t="n">
        <f aca="false">COUNTIFS('AI Confirmed Findings'!$C$6:$C$59,C9,'AI Confirmed Findings'!$G$6:$G$59,"FALSE")</f>
        <v>0</v>
      </c>
      <c r="J9" s="28" t="str">
        <f aca="false">IF(D9="Vulnerable",IF(F9&gt;0,"Y","N"),"n/a")</f>
        <v>Y</v>
      </c>
      <c r="K9" s="29" t="n">
        <f aca="false">'Independent AI Runs'!L6</f>
        <v>70</v>
      </c>
      <c r="L9" s="29" t="str">
        <f aca="false">'Independent AI Runs'!M6</f>
        <v>APPROVE_WITH_COMMENTS</v>
      </c>
    </row>
    <row r="10" customFormat="false" ht="15" hidden="false" customHeight="true" outlineLevel="0" collapsed="false">
      <c r="A10" s="28" t="s">
        <v>45</v>
      </c>
      <c r="B10" s="28" t="n">
        <v>3</v>
      </c>
      <c r="C10" s="28" t="s">
        <v>659</v>
      </c>
      <c r="D10" s="28" t="s">
        <v>48</v>
      </c>
      <c r="E10" s="28" t="n">
        <f aca="false">COUNTIFS('AI Confirmed Findings'!$C$6:$C$59,C10,'AI Confirmed Findings'!$G$6:$G$59,"&lt;&gt;NONE")</f>
        <v>1</v>
      </c>
      <c r="F10" s="28" t="n">
        <f aca="false">COUNTIFS('AI Confirmed Findings'!$C$6:$C$59,C10,'AI Confirmed Findings'!$G$6:$G$59,"TARGET")</f>
        <v>1</v>
      </c>
      <c r="G10" s="28" t="n">
        <f aca="false">COUNTIFS('AI Confirmed Findings'!$C$6:$C$59,C10,'AI Confirmed Findings'!$G$6:$G$59,"EXTRA-VALID")</f>
        <v>0</v>
      </c>
      <c r="H10" s="28" t="n">
        <f aca="false">COUNTIFS('AI Confirmed Findings'!$C$6:$C$59,C10,'AI Confirmed Findings'!$G$6:$G$59,"DUPLICATE")</f>
        <v>0</v>
      </c>
      <c r="I10" s="28" t="n">
        <f aca="false">COUNTIFS('AI Confirmed Findings'!$C$6:$C$59,C10,'AI Confirmed Findings'!$G$6:$G$59,"FALSE")</f>
        <v>0</v>
      </c>
      <c r="J10" s="28" t="str">
        <f aca="false">IF(D10="Vulnerable",IF(F10&gt;0,"Y","N"),"n/a")</f>
        <v>Y</v>
      </c>
      <c r="K10" s="29" t="n">
        <f aca="false">'Independent AI Runs'!L7</f>
        <v>70</v>
      </c>
      <c r="L10" s="29" t="str">
        <f aca="false">'Independent AI Runs'!M7</f>
        <v>APPROVE_WITH_COMMENTS</v>
      </c>
    </row>
    <row r="11" customFormat="false" ht="15" hidden="false" customHeight="true" outlineLevel="0" collapsed="false">
      <c r="A11" s="28" t="s">
        <v>58</v>
      </c>
      <c r="B11" s="28" t="n">
        <v>1</v>
      </c>
      <c r="C11" s="28" t="s">
        <v>660</v>
      </c>
      <c r="D11" s="28" t="s">
        <v>48</v>
      </c>
      <c r="E11" s="28" t="n">
        <f aca="false">COUNTIFS('AI Confirmed Findings'!$C$6:$C$59,C11,'AI Confirmed Findings'!$G$6:$G$59,"&lt;&gt;NONE")</f>
        <v>1</v>
      </c>
      <c r="F11" s="28" t="n">
        <f aca="false">COUNTIFS('AI Confirmed Findings'!$C$6:$C$59,C11,'AI Confirmed Findings'!$G$6:$G$59,"TARGET")</f>
        <v>1</v>
      </c>
      <c r="G11" s="28" t="n">
        <f aca="false">COUNTIFS('AI Confirmed Findings'!$C$6:$C$59,C11,'AI Confirmed Findings'!$G$6:$G$59,"EXTRA-VALID")</f>
        <v>0</v>
      </c>
      <c r="H11" s="28" t="n">
        <f aca="false">COUNTIFS('AI Confirmed Findings'!$C$6:$C$59,C11,'AI Confirmed Findings'!$G$6:$G$59,"DUPLICATE")</f>
        <v>0</v>
      </c>
      <c r="I11" s="28" t="n">
        <f aca="false">COUNTIFS('AI Confirmed Findings'!$C$6:$C$59,C11,'AI Confirmed Findings'!$G$6:$G$59,"FALSE")</f>
        <v>0</v>
      </c>
      <c r="J11" s="28" t="str">
        <f aca="false">IF(D11="Vulnerable",IF(F11&gt;0,"Y","N"),"n/a")</f>
        <v>Y</v>
      </c>
      <c r="K11" s="29" t="n">
        <f aca="false">'Independent AI Runs'!L8</f>
        <v>70</v>
      </c>
      <c r="L11" s="29" t="str">
        <f aca="false">'Independent AI Runs'!M8</f>
        <v>APPROVE_WITH_COMMENTS</v>
      </c>
    </row>
    <row r="12" customFormat="false" ht="15" hidden="false" customHeight="true" outlineLevel="0" collapsed="false">
      <c r="A12" s="28" t="s">
        <v>58</v>
      </c>
      <c r="B12" s="28" t="n">
        <v>2</v>
      </c>
      <c r="C12" s="28" t="s">
        <v>661</v>
      </c>
      <c r="D12" s="28" t="s">
        <v>48</v>
      </c>
      <c r="E12" s="28" t="n">
        <f aca="false">COUNTIFS('AI Confirmed Findings'!$C$6:$C$59,C12,'AI Confirmed Findings'!$G$6:$G$59,"&lt;&gt;NONE")</f>
        <v>1</v>
      </c>
      <c r="F12" s="28" t="n">
        <f aca="false">COUNTIFS('AI Confirmed Findings'!$C$6:$C$59,C12,'AI Confirmed Findings'!$G$6:$G$59,"TARGET")</f>
        <v>1</v>
      </c>
      <c r="G12" s="28" t="n">
        <f aca="false">COUNTIFS('AI Confirmed Findings'!$C$6:$C$59,C12,'AI Confirmed Findings'!$G$6:$G$59,"EXTRA-VALID")</f>
        <v>0</v>
      </c>
      <c r="H12" s="28" t="n">
        <f aca="false">COUNTIFS('AI Confirmed Findings'!$C$6:$C$59,C12,'AI Confirmed Findings'!$G$6:$G$59,"DUPLICATE")</f>
        <v>0</v>
      </c>
      <c r="I12" s="28" t="n">
        <f aca="false">COUNTIFS('AI Confirmed Findings'!$C$6:$C$59,C12,'AI Confirmed Findings'!$G$6:$G$59,"FALSE")</f>
        <v>0</v>
      </c>
      <c r="J12" s="28" t="str">
        <f aca="false">IF(D12="Vulnerable",IF(F12&gt;0,"Y","N"),"n/a")</f>
        <v>Y</v>
      </c>
      <c r="K12" s="29" t="n">
        <f aca="false">'Independent AI Runs'!L9</f>
        <v>70</v>
      </c>
      <c r="L12" s="29" t="str">
        <f aca="false">'Independent AI Runs'!M9</f>
        <v>APPROVE_WITH_COMMENTS</v>
      </c>
    </row>
    <row r="13" customFormat="false" ht="15" hidden="false" customHeight="true" outlineLevel="0" collapsed="false">
      <c r="A13" s="28" t="s">
        <v>58</v>
      </c>
      <c r="B13" s="28" t="n">
        <v>3</v>
      </c>
      <c r="C13" s="28" t="s">
        <v>662</v>
      </c>
      <c r="D13" s="28" t="s">
        <v>48</v>
      </c>
      <c r="E13" s="28" t="n">
        <f aca="false">COUNTIFS('AI Confirmed Findings'!$C$6:$C$59,C13,'AI Confirmed Findings'!$G$6:$G$59,"&lt;&gt;NONE")</f>
        <v>2</v>
      </c>
      <c r="F13" s="28" t="n">
        <f aca="false">COUNTIFS('AI Confirmed Findings'!$C$6:$C$59,C13,'AI Confirmed Findings'!$G$6:$G$59,"TARGET")</f>
        <v>1</v>
      </c>
      <c r="G13" s="28" t="n">
        <f aca="false">COUNTIFS('AI Confirmed Findings'!$C$6:$C$59,C13,'AI Confirmed Findings'!$G$6:$G$59,"EXTRA-VALID")</f>
        <v>0</v>
      </c>
      <c r="H13" s="28" t="n">
        <f aca="false">COUNTIFS('AI Confirmed Findings'!$C$6:$C$59,C13,'AI Confirmed Findings'!$G$6:$G$59,"DUPLICATE")</f>
        <v>1</v>
      </c>
      <c r="I13" s="28" t="n">
        <f aca="false">COUNTIFS('AI Confirmed Findings'!$C$6:$C$59,C13,'AI Confirmed Findings'!$G$6:$G$59,"FALSE")</f>
        <v>0</v>
      </c>
      <c r="J13" s="28" t="str">
        <f aca="false">IF(D13="Vulnerable",IF(F13&gt;0,"Y","N"),"n/a")</f>
        <v>Y</v>
      </c>
      <c r="K13" s="29" t="n">
        <f aca="false">'Independent AI Runs'!L10</f>
        <v>40</v>
      </c>
      <c r="L13" s="29" t="str">
        <f aca="false">'Independent AI Runs'!M10</f>
        <v>DO_NOT_MERGE</v>
      </c>
    </row>
    <row r="14" customFormat="false" ht="15" hidden="false" customHeight="true" outlineLevel="0" collapsed="false">
      <c r="A14" s="28" t="s">
        <v>68</v>
      </c>
      <c r="B14" s="28" t="n">
        <v>1</v>
      </c>
      <c r="C14" s="28" t="s">
        <v>663</v>
      </c>
      <c r="D14" s="28" t="s">
        <v>48</v>
      </c>
      <c r="E14" s="28" t="n">
        <f aca="false">COUNTIFS('AI Confirmed Findings'!$C$6:$C$59,C14,'AI Confirmed Findings'!$G$6:$G$59,"&lt;&gt;NONE")</f>
        <v>1</v>
      </c>
      <c r="F14" s="28" t="n">
        <f aca="false">COUNTIFS('AI Confirmed Findings'!$C$6:$C$59,C14,'AI Confirmed Findings'!$G$6:$G$59,"TARGET")</f>
        <v>1</v>
      </c>
      <c r="G14" s="28" t="n">
        <f aca="false">COUNTIFS('AI Confirmed Findings'!$C$6:$C$59,C14,'AI Confirmed Findings'!$G$6:$G$59,"EXTRA-VALID")</f>
        <v>0</v>
      </c>
      <c r="H14" s="28" t="n">
        <f aca="false">COUNTIFS('AI Confirmed Findings'!$C$6:$C$59,C14,'AI Confirmed Findings'!$G$6:$G$59,"DUPLICATE")</f>
        <v>0</v>
      </c>
      <c r="I14" s="28" t="n">
        <f aca="false">COUNTIFS('AI Confirmed Findings'!$C$6:$C$59,C14,'AI Confirmed Findings'!$G$6:$G$59,"FALSE")</f>
        <v>0</v>
      </c>
      <c r="J14" s="28" t="str">
        <f aca="false">IF(D14="Vulnerable",IF(F14&gt;0,"Y","N"),"n/a")</f>
        <v>Y</v>
      </c>
      <c r="K14" s="29" t="n">
        <f aca="false">'Independent AI Runs'!L11</f>
        <v>70</v>
      </c>
      <c r="L14" s="29" t="str">
        <f aca="false">'Independent AI Runs'!M11</f>
        <v>APPROVE_WITH_COMMENTS</v>
      </c>
    </row>
    <row r="15" customFormat="false" ht="15" hidden="false" customHeight="true" outlineLevel="0" collapsed="false">
      <c r="A15" s="28" t="s">
        <v>68</v>
      </c>
      <c r="B15" s="28" t="n">
        <v>2</v>
      </c>
      <c r="C15" s="28" t="s">
        <v>664</v>
      </c>
      <c r="D15" s="28" t="s">
        <v>48</v>
      </c>
      <c r="E15" s="28" t="n">
        <f aca="false">COUNTIFS('AI Confirmed Findings'!$C$6:$C$59,C15,'AI Confirmed Findings'!$G$6:$G$59,"&lt;&gt;NONE")</f>
        <v>1</v>
      </c>
      <c r="F15" s="28" t="n">
        <f aca="false">COUNTIFS('AI Confirmed Findings'!$C$6:$C$59,C15,'AI Confirmed Findings'!$G$6:$G$59,"TARGET")</f>
        <v>1</v>
      </c>
      <c r="G15" s="28" t="n">
        <f aca="false">COUNTIFS('AI Confirmed Findings'!$C$6:$C$59,C15,'AI Confirmed Findings'!$G$6:$G$59,"EXTRA-VALID")</f>
        <v>0</v>
      </c>
      <c r="H15" s="28" t="n">
        <f aca="false">COUNTIFS('AI Confirmed Findings'!$C$6:$C$59,C15,'AI Confirmed Findings'!$G$6:$G$59,"DUPLICATE")</f>
        <v>0</v>
      </c>
      <c r="I15" s="28" t="n">
        <f aca="false">COUNTIFS('AI Confirmed Findings'!$C$6:$C$59,C15,'AI Confirmed Findings'!$G$6:$G$59,"FALSE")</f>
        <v>0</v>
      </c>
      <c r="J15" s="28" t="str">
        <f aca="false">IF(D15="Vulnerable",IF(F15&gt;0,"Y","N"),"n/a")</f>
        <v>Y</v>
      </c>
      <c r="K15" s="29" t="n">
        <f aca="false">'Independent AI Runs'!L12</f>
        <v>70</v>
      </c>
      <c r="L15" s="29" t="str">
        <f aca="false">'Independent AI Runs'!M12</f>
        <v>APPROVE_WITH_COMMENTS</v>
      </c>
    </row>
    <row r="16" customFormat="false" ht="15" hidden="false" customHeight="true" outlineLevel="0" collapsed="false">
      <c r="A16" s="28" t="s">
        <v>68</v>
      </c>
      <c r="B16" s="28" t="n">
        <v>3</v>
      </c>
      <c r="C16" s="28" t="s">
        <v>665</v>
      </c>
      <c r="D16" s="28" t="s">
        <v>48</v>
      </c>
      <c r="E16" s="28" t="n">
        <f aca="false">COUNTIFS('AI Confirmed Findings'!$C$6:$C$59,C16,'AI Confirmed Findings'!$G$6:$G$59,"&lt;&gt;NONE")</f>
        <v>1</v>
      </c>
      <c r="F16" s="28" t="n">
        <f aca="false">COUNTIFS('AI Confirmed Findings'!$C$6:$C$59,C16,'AI Confirmed Findings'!$G$6:$G$59,"TARGET")</f>
        <v>1</v>
      </c>
      <c r="G16" s="28" t="n">
        <f aca="false">COUNTIFS('AI Confirmed Findings'!$C$6:$C$59,C16,'AI Confirmed Findings'!$G$6:$G$59,"EXTRA-VALID")</f>
        <v>0</v>
      </c>
      <c r="H16" s="28" t="n">
        <f aca="false">COUNTIFS('AI Confirmed Findings'!$C$6:$C$59,C16,'AI Confirmed Findings'!$G$6:$G$59,"DUPLICATE")</f>
        <v>0</v>
      </c>
      <c r="I16" s="28" t="n">
        <f aca="false">COUNTIFS('AI Confirmed Findings'!$C$6:$C$59,C16,'AI Confirmed Findings'!$G$6:$G$59,"FALSE")</f>
        <v>0</v>
      </c>
      <c r="J16" s="28" t="str">
        <f aca="false">IF(D16="Vulnerable",IF(F16&gt;0,"Y","N"),"n/a")</f>
        <v>Y</v>
      </c>
      <c r="K16" s="29" t="n">
        <f aca="false">'Independent AI Runs'!L13</f>
        <v>70</v>
      </c>
      <c r="L16" s="29" t="str">
        <f aca="false">'Independent AI Runs'!M13</f>
        <v>APPROVE_WITH_COMMENTS</v>
      </c>
    </row>
    <row r="17" customFormat="false" ht="15" hidden="false" customHeight="true" outlineLevel="0" collapsed="false">
      <c r="A17" s="28" t="s">
        <v>78</v>
      </c>
      <c r="B17" s="28" t="n">
        <v>1</v>
      </c>
      <c r="C17" s="28" t="s">
        <v>666</v>
      </c>
      <c r="D17" s="28" t="s">
        <v>48</v>
      </c>
      <c r="E17" s="28" t="n">
        <f aca="false">COUNTIFS('AI Confirmed Findings'!$C$6:$C$59,C17,'AI Confirmed Findings'!$G$6:$G$59,"&lt;&gt;NONE")</f>
        <v>1</v>
      </c>
      <c r="F17" s="28" t="n">
        <f aca="false">COUNTIFS('AI Confirmed Findings'!$C$6:$C$59,C17,'AI Confirmed Findings'!$G$6:$G$59,"TARGET")</f>
        <v>1</v>
      </c>
      <c r="G17" s="28" t="n">
        <f aca="false">COUNTIFS('AI Confirmed Findings'!$C$6:$C$59,C17,'AI Confirmed Findings'!$G$6:$G$59,"EXTRA-VALID")</f>
        <v>0</v>
      </c>
      <c r="H17" s="28" t="n">
        <f aca="false">COUNTIFS('AI Confirmed Findings'!$C$6:$C$59,C17,'AI Confirmed Findings'!$G$6:$G$59,"DUPLICATE")</f>
        <v>0</v>
      </c>
      <c r="I17" s="28" t="n">
        <f aca="false">COUNTIFS('AI Confirmed Findings'!$C$6:$C$59,C17,'AI Confirmed Findings'!$G$6:$G$59,"FALSE")</f>
        <v>0</v>
      </c>
      <c r="J17" s="28" t="str">
        <f aca="false">IF(D17="Vulnerable",IF(F17&gt;0,"Y","N"),"n/a")</f>
        <v>Y</v>
      </c>
      <c r="K17" s="29" t="n">
        <f aca="false">'Independent AI Runs'!L14</f>
        <v>70</v>
      </c>
      <c r="L17" s="29" t="str">
        <f aca="false">'Independent AI Runs'!M14</f>
        <v>APPROVE_WITH_COMMENTS</v>
      </c>
    </row>
    <row r="18" customFormat="false" ht="15" hidden="false" customHeight="true" outlineLevel="0" collapsed="false">
      <c r="A18" s="28" t="s">
        <v>78</v>
      </c>
      <c r="B18" s="28" t="n">
        <v>2</v>
      </c>
      <c r="C18" s="28" t="s">
        <v>667</v>
      </c>
      <c r="D18" s="28" t="s">
        <v>48</v>
      </c>
      <c r="E18" s="28" t="n">
        <f aca="false">COUNTIFS('AI Confirmed Findings'!$C$6:$C$59,C18,'AI Confirmed Findings'!$G$6:$G$59,"&lt;&gt;NONE")</f>
        <v>1</v>
      </c>
      <c r="F18" s="28" t="n">
        <f aca="false">COUNTIFS('AI Confirmed Findings'!$C$6:$C$59,C18,'AI Confirmed Findings'!$G$6:$G$59,"TARGET")</f>
        <v>1</v>
      </c>
      <c r="G18" s="28" t="n">
        <f aca="false">COUNTIFS('AI Confirmed Findings'!$C$6:$C$59,C18,'AI Confirmed Findings'!$G$6:$G$59,"EXTRA-VALID")</f>
        <v>0</v>
      </c>
      <c r="H18" s="28" t="n">
        <f aca="false">COUNTIFS('AI Confirmed Findings'!$C$6:$C$59,C18,'AI Confirmed Findings'!$G$6:$G$59,"DUPLICATE")</f>
        <v>0</v>
      </c>
      <c r="I18" s="28" t="n">
        <f aca="false">COUNTIFS('AI Confirmed Findings'!$C$6:$C$59,C18,'AI Confirmed Findings'!$G$6:$G$59,"FALSE")</f>
        <v>0</v>
      </c>
      <c r="J18" s="28" t="str">
        <f aca="false">IF(D18="Vulnerable",IF(F18&gt;0,"Y","N"),"n/a")</f>
        <v>Y</v>
      </c>
      <c r="K18" s="29" t="n">
        <f aca="false">'Independent AI Runs'!L15</f>
        <v>70</v>
      </c>
      <c r="L18" s="29" t="str">
        <f aca="false">'Independent AI Runs'!M15</f>
        <v>APPROVE_WITH_COMMENTS</v>
      </c>
    </row>
    <row r="19" customFormat="false" ht="15" hidden="false" customHeight="true" outlineLevel="0" collapsed="false">
      <c r="A19" s="28" t="s">
        <v>78</v>
      </c>
      <c r="B19" s="28" t="n">
        <v>3</v>
      </c>
      <c r="C19" s="28" t="s">
        <v>668</v>
      </c>
      <c r="D19" s="28" t="s">
        <v>48</v>
      </c>
      <c r="E19" s="28" t="n">
        <f aca="false">COUNTIFS('AI Confirmed Findings'!$C$6:$C$59,C19,'AI Confirmed Findings'!$G$6:$G$59,"&lt;&gt;NONE")</f>
        <v>1</v>
      </c>
      <c r="F19" s="28" t="n">
        <f aca="false">COUNTIFS('AI Confirmed Findings'!$C$6:$C$59,C19,'AI Confirmed Findings'!$G$6:$G$59,"TARGET")</f>
        <v>1</v>
      </c>
      <c r="G19" s="28" t="n">
        <f aca="false">COUNTIFS('AI Confirmed Findings'!$C$6:$C$59,C19,'AI Confirmed Findings'!$G$6:$G$59,"EXTRA-VALID")</f>
        <v>0</v>
      </c>
      <c r="H19" s="28" t="n">
        <f aca="false">COUNTIFS('AI Confirmed Findings'!$C$6:$C$59,C19,'AI Confirmed Findings'!$G$6:$G$59,"DUPLICATE")</f>
        <v>0</v>
      </c>
      <c r="I19" s="28" t="n">
        <f aca="false">COUNTIFS('AI Confirmed Findings'!$C$6:$C$59,C19,'AI Confirmed Findings'!$G$6:$G$59,"FALSE")</f>
        <v>0</v>
      </c>
      <c r="J19" s="28" t="str">
        <f aca="false">IF(D19="Vulnerable",IF(F19&gt;0,"Y","N"),"n/a")</f>
        <v>Y</v>
      </c>
      <c r="K19" s="29" t="n">
        <f aca="false">'Independent AI Runs'!L16</f>
        <v>85</v>
      </c>
      <c r="L19" s="29" t="str">
        <f aca="false">'Independent AI Runs'!M16</f>
        <v>APPROVE</v>
      </c>
    </row>
    <row r="20" customFormat="false" ht="15" hidden="false" customHeight="true" outlineLevel="0" collapsed="false">
      <c r="A20" s="28" t="s">
        <v>87</v>
      </c>
      <c r="B20" s="28" t="n">
        <v>1</v>
      </c>
      <c r="C20" s="28" t="s">
        <v>669</v>
      </c>
      <c r="D20" s="28" t="s">
        <v>48</v>
      </c>
      <c r="E20" s="28" t="n">
        <f aca="false">COUNTIFS('AI Confirmed Findings'!$C$6:$C$59,C20,'AI Confirmed Findings'!$G$6:$G$59,"&lt;&gt;NONE")</f>
        <v>1</v>
      </c>
      <c r="F20" s="28" t="n">
        <f aca="false">COUNTIFS('AI Confirmed Findings'!$C$6:$C$59,C20,'AI Confirmed Findings'!$G$6:$G$59,"TARGET")</f>
        <v>1</v>
      </c>
      <c r="G20" s="28" t="n">
        <f aca="false">COUNTIFS('AI Confirmed Findings'!$C$6:$C$59,C20,'AI Confirmed Findings'!$G$6:$G$59,"EXTRA-VALID")</f>
        <v>0</v>
      </c>
      <c r="H20" s="28" t="n">
        <f aca="false">COUNTIFS('AI Confirmed Findings'!$C$6:$C$59,C20,'AI Confirmed Findings'!$G$6:$G$59,"DUPLICATE")</f>
        <v>0</v>
      </c>
      <c r="I20" s="28" t="n">
        <f aca="false">COUNTIFS('AI Confirmed Findings'!$C$6:$C$59,C20,'AI Confirmed Findings'!$G$6:$G$59,"FALSE")</f>
        <v>0</v>
      </c>
      <c r="J20" s="28" t="str">
        <f aca="false">IF(D20="Vulnerable",IF(F20&gt;0,"Y","N"),"n/a")</f>
        <v>Y</v>
      </c>
      <c r="K20" s="29" t="n">
        <f aca="false">'Independent AI Runs'!L17</f>
        <v>85</v>
      </c>
      <c r="L20" s="29" t="str">
        <f aca="false">'Independent AI Runs'!M17</f>
        <v>APPROVE</v>
      </c>
    </row>
    <row r="21" customFormat="false" ht="15" hidden="false" customHeight="true" outlineLevel="0" collapsed="false">
      <c r="A21" s="28" t="s">
        <v>87</v>
      </c>
      <c r="B21" s="28" t="n">
        <v>2</v>
      </c>
      <c r="C21" s="28" t="s">
        <v>670</v>
      </c>
      <c r="D21" s="28" t="s">
        <v>48</v>
      </c>
      <c r="E21" s="28" t="n">
        <f aca="false">COUNTIFS('AI Confirmed Findings'!$C$6:$C$59,C21,'AI Confirmed Findings'!$G$6:$G$59,"&lt;&gt;NONE")</f>
        <v>1</v>
      </c>
      <c r="F21" s="28" t="n">
        <f aca="false">COUNTIFS('AI Confirmed Findings'!$C$6:$C$59,C21,'AI Confirmed Findings'!$G$6:$G$59,"TARGET")</f>
        <v>1</v>
      </c>
      <c r="G21" s="28" t="n">
        <f aca="false">COUNTIFS('AI Confirmed Findings'!$C$6:$C$59,C21,'AI Confirmed Findings'!$G$6:$G$59,"EXTRA-VALID")</f>
        <v>0</v>
      </c>
      <c r="H21" s="28" t="n">
        <f aca="false">COUNTIFS('AI Confirmed Findings'!$C$6:$C$59,C21,'AI Confirmed Findings'!$G$6:$G$59,"DUPLICATE")</f>
        <v>0</v>
      </c>
      <c r="I21" s="28" t="n">
        <f aca="false">COUNTIFS('AI Confirmed Findings'!$C$6:$C$59,C21,'AI Confirmed Findings'!$G$6:$G$59,"FALSE")</f>
        <v>0</v>
      </c>
      <c r="J21" s="28" t="str">
        <f aca="false">IF(D21="Vulnerable",IF(F21&gt;0,"Y","N"),"n/a")</f>
        <v>Y</v>
      </c>
      <c r="K21" s="29" t="n">
        <f aca="false">'Independent AI Runs'!L18</f>
        <v>85</v>
      </c>
      <c r="L21" s="29" t="str">
        <f aca="false">'Independent AI Runs'!M18</f>
        <v>APPROVE</v>
      </c>
    </row>
    <row r="22" customFormat="false" ht="15" hidden="false" customHeight="true" outlineLevel="0" collapsed="false">
      <c r="A22" s="28" t="s">
        <v>87</v>
      </c>
      <c r="B22" s="28" t="n">
        <v>3</v>
      </c>
      <c r="C22" s="28" t="s">
        <v>671</v>
      </c>
      <c r="D22" s="28" t="s">
        <v>48</v>
      </c>
      <c r="E22" s="28" t="n">
        <f aca="false">COUNTIFS('AI Confirmed Findings'!$C$6:$C$59,C22,'AI Confirmed Findings'!$G$6:$G$59,"&lt;&gt;NONE")</f>
        <v>1</v>
      </c>
      <c r="F22" s="28" t="n">
        <f aca="false">COUNTIFS('AI Confirmed Findings'!$C$6:$C$59,C22,'AI Confirmed Findings'!$G$6:$G$59,"TARGET")</f>
        <v>1</v>
      </c>
      <c r="G22" s="28" t="n">
        <f aca="false">COUNTIFS('AI Confirmed Findings'!$C$6:$C$59,C22,'AI Confirmed Findings'!$G$6:$G$59,"EXTRA-VALID")</f>
        <v>0</v>
      </c>
      <c r="H22" s="28" t="n">
        <f aca="false">COUNTIFS('AI Confirmed Findings'!$C$6:$C$59,C22,'AI Confirmed Findings'!$G$6:$G$59,"DUPLICATE")</f>
        <v>0</v>
      </c>
      <c r="I22" s="28" t="n">
        <f aca="false">COUNTIFS('AI Confirmed Findings'!$C$6:$C$59,C22,'AI Confirmed Findings'!$G$6:$G$59,"FALSE")</f>
        <v>0</v>
      </c>
      <c r="J22" s="28" t="str">
        <f aca="false">IF(D22="Vulnerable",IF(F22&gt;0,"Y","N"),"n/a")</f>
        <v>Y</v>
      </c>
      <c r="K22" s="29" t="n">
        <f aca="false">'Independent AI Runs'!L19</f>
        <v>85</v>
      </c>
      <c r="L22" s="29" t="str">
        <f aca="false">'Independent AI Runs'!M19</f>
        <v>APPROVE</v>
      </c>
    </row>
    <row r="23" customFormat="false" ht="15" hidden="false" customHeight="true" outlineLevel="0" collapsed="false">
      <c r="A23" s="28" t="s">
        <v>96</v>
      </c>
      <c r="B23" s="28" t="n">
        <v>1</v>
      </c>
      <c r="C23" s="28" t="s">
        <v>672</v>
      </c>
      <c r="D23" s="28" t="s">
        <v>48</v>
      </c>
      <c r="E23" s="28" t="n">
        <f aca="false">COUNTIFS('AI Confirmed Findings'!$C$6:$C$59,C23,'AI Confirmed Findings'!$G$6:$G$59,"&lt;&gt;NONE")</f>
        <v>2</v>
      </c>
      <c r="F23" s="28" t="n">
        <f aca="false">COUNTIFS('AI Confirmed Findings'!$C$6:$C$59,C23,'AI Confirmed Findings'!$G$6:$G$59,"TARGET")</f>
        <v>1</v>
      </c>
      <c r="G23" s="28" t="n">
        <f aca="false">COUNTIFS('AI Confirmed Findings'!$C$6:$C$59,C23,'AI Confirmed Findings'!$G$6:$G$59,"EXTRA-VALID")</f>
        <v>1</v>
      </c>
      <c r="H23" s="28" t="n">
        <f aca="false">COUNTIFS('AI Confirmed Findings'!$C$6:$C$59,C23,'AI Confirmed Findings'!$G$6:$G$59,"DUPLICATE")</f>
        <v>0</v>
      </c>
      <c r="I23" s="28" t="n">
        <f aca="false">COUNTIFS('AI Confirmed Findings'!$C$6:$C$59,C23,'AI Confirmed Findings'!$G$6:$G$59,"FALSE")</f>
        <v>0</v>
      </c>
      <c r="J23" s="28" t="str">
        <f aca="false">IF(D23="Vulnerable",IF(F23&gt;0,"Y","N"),"n/a")</f>
        <v>Y</v>
      </c>
      <c r="K23" s="29" t="n">
        <f aca="false">'Independent AI Runs'!L20</f>
        <v>65</v>
      </c>
      <c r="L23" s="29" t="str">
        <f aca="false">'Independent AI Runs'!M20</f>
        <v>DO_NOT_MERGE</v>
      </c>
    </row>
    <row r="24" customFormat="false" ht="15" hidden="false" customHeight="true" outlineLevel="0" collapsed="false">
      <c r="A24" s="28" t="s">
        <v>96</v>
      </c>
      <c r="B24" s="28" t="n">
        <v>2</v>
      </c>
      <c r="C24" s="28" t="s">
        <v>673</v>
      </c>
      <c r="D24" s="28" t="s">
        <v>48</v>
      </c>
      <c r="E24" s="28" t="n">
        <f aca="false">COUNTIFS('AI Confirmed Findings'!$C$6:$C$59,C24,'AI Confirmed Findings'!$G$6:$G$59,"&lt;&gt;NONE")</f>
        <v>2</v>
      </c>
      <c r="F24" s="28" t="n">
        <f aca="false">COUNTIFS('AI Confirmed Findings'!$C$6:$C$59,C24,'AI Confirmed Findings'!$G$6:$G$59,"TARGET")</f>
        <v>1</v>
      </c>
      <c r="G24" s="28" t="n">
        <f aca="false">COUNTIFS('AI Confirmed Findings'!$C$6:$C$59,C24,'AI Confirmed Findings'!$G$6:$G$59,"EXTRA-VALID")</f>
        <v>1</v>
      </c>
      <c r="H24" s="28" t="n">
        <f aca="false">COUNTIFS('AI Confirmed Findings'!$C$6:$C$59,C24,'AI Confirmed Findings'!$G$6:$G$59,"DUPLICATE")</f>
        <v>0</v>
      </c>
      <c r="I24" s="28" t="n">
        <f aca="false">COUNTIFS('AI Confirmed Findings'!$C$6:$C$59,C24,'AI Confirmed Findings'!$G$6:$G$59,"FALSE")</f>
        <v>0</v>
      </c>
      <c r="J24" s="28" t="str">
        <f aca="false">IF(D24="Vulnerable",IF(F24&gt;0,"Y","N"),"n/a")</f>
        <v>Y</v>
      </c>
      <c r="K24" s="29" t="n">
        <f aca="false">'Independent AI Runs'!L21</f>
        <v>65</v>
      </c>
      <c r="L24" s="29" t="str">
        <f aca="false">'Independent AI Runs'!M21</f>
        <v>DO_NOT_MERGE</v>
      </c>
    </row>
    <row r="25" customFormat="false" ht="15" hidden="false" customHeight="true" outlineLevel="0" collapsed="false">
      <c r="A25" s="28" t="s">
        <v>96</v>
      </c>
      <c r="B25" s="28" t="n">
        <v>3</v>
      </c>
      <c r="C25" s="28" t="s">
        <v>674</v>
      </c>
      <c r="D25" s="28" t="s">
        <v>48</v>
      </c>
      <c r="E25" s="28" t="n">
        <f aca="false">COUNTIFS('AI Confirmed Findings'!$C$6:$C$59,C25,'AI Confirmed Findings'!$G$6:$G$59,"&lt;&gt;NONE")</f>
        <v>2</v>
      </c>
      <c r="F25" s="28" t="n">
        <f aca="false">COUNTIFS('AI Confirmed Findings'!$C$6:$C$59,C25,'AI Confirmed Findings'!$G$6:$G$59,"TARGET")</f>
        <v>1</v>
      </c>
      <c r="G25" s="28" t="n">
        <f aca="false">COUNTIFS('AI Confirmed Findings'!$C$6:$C$59,C25,'AI Confirmed Findings'!$G$6:$G$59,"EXTRA-VALID")</f>
        <v>1</v>
      </c>
      <c r="H25" s="28" t="n">
        <f aca="false">COUNTIFS('AI Confirmed Findings'!$C$6:$C$59,C25,'AI Confirmed Findings'!$G$6:$G$59,"DUPLICATE")</f>
        <v>0</v>
      </c>
      <c r="I25" s="28" t="n">
        <f aca="false">COUNTIFS('AI Confirmed Findings'!$C$6:$C$59,C25,'AI Confirmed Findings'!$G$6:$G$59,"FALSE")</f>
        <v>0</v>
      </c>
      <c r="J25" s="28" t="str">
        <f aca="false">IF(D25="Vulnerable",IF(F25&gt;0,"Y","N"),"n/a")</f>
        <v>Y</v>
      </c>
      <c r="K25" s="29" t="n">
        <f aca="false">'Independent AI Runs'!L22</f>
        <v>65</v>
      </c>
      <c r="L25" s="29" t="str">
        <f aca="false">'Independent AI Runs'!M22</f>
        <v>DO_NOT_MERGE</v>
      </c>
    </row>
    <row r="26" customFormat="false" ht="15" hidden="false" customHeight="true" outlineLevel="0" collapsed="false">
      <c r="A26" s="28" t="s">
        <v>106</v>
      </c>
      <c r="B26" s="28" t="n">
        <v>1</v>
      </c>
      <c r="C26" s="28" t="s">
        <v>675</v>
      </c>
      <c r="D26" s="28" t="s">
        <v>48</v>
      </c>
      <c r="E26" s="28" t="n">
        <f aca="false">COUNTIFS('AI Confirmed Findings'!$C$6:$C$59,C26,'AI Confirmed Findings'!$G$6:$G$59,"&lt;&gt;NONE")</f>
        <v>0</v>
      </c>
      <c r="F26" s="28" t="n">
        <f aca="false">COUNTIFS('AI Confirmed Findings'!$C$6:$C$59,C26,'AI Confirmed Findings'!$G$6:$G$59,"TARGET")</f>
        <v>0</v>
      </c>
      <c r="G26" s="28" t="n">
        <f aca="false">COUNTIFS('AI Confirmed Findings'!$C$6:$C$59,C26,'AI Confirmed Findings'!$G$6:$G$59,"EXTRA-VALID")</f>
        <v>0</v>
      </c>
      <c r="H26" s="28" t="n">
        <f aca="false">COUNTIFS('AI Confirmed Findings'!$C$6:$C$59,C26,'AI Confirmed Findings'!$G$6:$G$59,"DUPLICATE")</f>
        <v>0</v>
      </c>
      <c r="I26" s="28" t="n">
        <f aca="false">COUNTIFS('AI Confirmed Findings'!$C$6:$C$59,C26,'AI Confirmed Findings'!$G$6:$G$59,"FALSE")</f>
        <v>0</v>
      </c>
      <c r="J26" s="28" t="str">
        <f aca="false">IF(D26="Vulnerable",IF(F26&gt;0,"Y","N"),"n/a")</f>
        <v>N</v>
      </c>
      <c r="K26" s="29" t="str">
        <f aca="false">'Independent AI Runs'!L23</f>
        <v>—</v>
      </c>
      <c r="L26" s="29" t="str">
        <f aca="false">'Independent AI Runs'!M23</f>
        <v>—</v>
      </c>
    </row>
    <row r="27" customFormat="false" ht="15" hidden="false" customHeight="true" outlineLevel="0" collapsed="false">
      <c r="A27" s="28" t="s">
        <v>106</v>
      </c>
      <c r="B27" s="28" t="n">
        <v>2</v>
      </c>
      <c r="C27" s="28" t="s">
        <v>676</v>
      </c>
      <c r="D27" s="28" t="s">
        <v>48</v>
      </c>
      <c r="E27" s="28" t="n">
        <f aca="false">COUNTIFS('AI Confirmed Findings'!$C$6:$C$59,C27,'AI Confirmed Findings'!$G$6:$G$59,"&lt;&gt;NONE")</f>
        <v>0</v>
      </c>
      <c r="F27" s="28" t="n">
        <f aca="false">COUNTIFS('AI Confirmed Findings'!$C$6:$C$59,C27,'AI Confirmed Findings'!$G$6:$G$59,"TARGET")</f>
        <v>0</v>
      </c>
      <c r="G27" s="28" t="n">
        <f aca="false">COUNTIFS('AI Confirmed Findings'!$C$6:$C$59,C27,'AI Confirmed Findings'!$G$6:$G$59,"EXTRA-VALID")</f>
        <v>0</v>
      </c>
      <c r="H27" s="28" t="n">
        <f aca="false">COUNTIFS('AI Confirmed Findings'!$C$6:$C$59,C27,'AI Confirmed Findings'!$G$6:$G$59,"DUPLICATE")</f>
        <v>0</v>
      </c>
      <c r="I27" s="28" t="n">
        <f aca="false">COUNTIFS('AI Confirmed Findings'!$C$6:$C$59,C27,'AI Confirmed Findings'!$G$6:$G$59,"FALSE")</f>
        <v>0</v>
      </c>
      <c r="J27" s="28" t="str">
        <f aca="false">IF(D27="Vulnerable",IF(F27&gt;0,"Y","N"),"n/a")</f>
        <v>N</v>
      </c>
      <c r="K27" s="29" t="n">
        <f aca="false">'Independent AI Runs'!L24</f>
        <v>100</v>
      </c>
      <c r="L27" s="29" t="str">
        <f aca="false">'Independent AI Runs'!M24</f>
        <v>APPROVE</v>
      </c>
    </row>
    <row r="28" customFormat="false" ht="15" hidden="false" customHeight="true" outlineLevel="0" collapsed="false">
      <c r="A28" s="28" t="s">
        <v>106</v>
      </c>
      <c r="B28" s="28" t="n">
        <v>3</v>
      </c>
      <c r="C28" s="28" t="s">
        <v>677</v>
      </c>
      <c r="D28" s="28" t="s">
        <v>48</v>
      </c>
      <c r="E28" s="28" t="n">
        <f aca="false">COUNTIFS('AI Confirmed Findings'!$C$6:$C$59,C28,'AI Confirmed Findings'!$G$6:$G$59,"&lt;&gt;NONE")</f>
        <v>0</v>
      </c>
      <c r="F28" s="28" t="n">
        <f aca="false">COUNTIFS('AI Confirmed Findings'!$C$6:$C$59,C28,'AI Confirmed Findings'!$G$6:$G$59,"TARGET")</f>
        <v>0</v>
      </c>
      <c r="G28" s="28" t="n">
        <f aca="false">COUNTIFS('AI Confirmed Findings'!$C$6:$C$59,C28,'AI Confirmed Findings'!$G$6:$G$59,"EXTRA-VALID")</f>
        <v>0</v>
      </c>
      <c r="H28" s="28" t="n">
        <f aca="false">COUNTIFS('AI Confirmed Findings'!$C$6:$C$59,C28,'AI Confirmed Findings'!$G$6:$G$59,"DUPLICATE")</f>
        <v>0</v>
      </c>
      <c r="I28" s="28" t="n">
        <f aca="false">COUNTIFS('AI Confirmed Findings'!$C$6:$C$59,C28,'AI Confirmed Findings'!$G$6:$G$59,"FALSE")</f>
        <v>0</v>
      </c>
      <c r="J28" s="28" t="str">
        <f aca="false">IF(D28="Vulnerable",IF(F28&gt;0,"Y","N"),"n/a")</f>
        <v>N</v>
      </c>
      <c r="K28" s="29" t="n">
        <f aca="false">'Independent AI Runs'!L25</f>
        <v>100</v>
      </c>
      <c r="L28" s="29" t="str">
        <f aca="false">'Independent AI Runs'!M25</f>
        <v>APPROVE</v>
      </c>
    </row>
    <row r="29" customFormat="false" ht="15" hidden="false" customHeight="true" outlineLevel="0" collapsed="false">
      <c r="A29" s="28" t="s">
        <v>106</v>
      </c>
      <c r="B29" s="28" t="n">
        <v>4</v>
      </c>
      <c r="C29" s="28" t="s">
        <v>678</v>
      </c>
      <c r="D29" s="28" t="s">
        <v>48</v>
      </c>
      <c r="E29" s="28" t="n">
        <f aca="false">COUNTIFS('AI Confirmed Findings'!$C$6:$C$59,C29,'AI Confirmed Findings'!$G$6:$G$59,"&lt;&gt;NONE")</f>
        <v>1</v>
      </c>
      <c r="F29" s="28" t="n">
        <f aca="false">COUNTIFS('AI Confirmed Findings'!$C$6:$C$59,C29,'AI Confirmed Findings'!$G$6:$G$59,"TARGET")</f>
        <v>1</v>
      </c>
      <c r="G29" s="28" t="n">
        <f aca="false">COUNTIFS('AI Confirmed Findings'!$C$6:$C$59,C29,'AI Confirmed Findings'!$G$6:$G$59,"EXTRA-VALID")</f>
        <v>0</v>
      </c>
      <c r="H29" s="28" t="n">
        <f aca="false">COUNTIFS('AI Confirmed Findings'!$C$6:$C$59,C29,'AI Confirmed Findings'!$G$6:$G$59,"DUPLICATE")</f>
        <v>0</v>
      </c>
      <c r="I29" s="28" t="n">
        <f aca="false">COUNTIFS('AI Confirmed Findings'!$C$6:$C$59,C29,'AI Confirmed Findings'!$G$6:$G$59,"FALSE")</f>
        <v>0</v>
      </c>
      <c r="J29" s="28" t="str">
        <f aca="false">IF(D29="Vulnerable",IF(F29&gt;0,"Y","N"),"n/a")</f>
        <v>Y</v>
      </c>
      <c r="K29" s="29" t="n">
        <f aca="false">'Independent AI Runs'!L26</f>
        <v>85</v>
      </c>
      <c r="L29" s="29" t="str">
        <f aca="false">'Independent AI Runs'!M26</f>
        <v>APPROVE</v>
      </c>
    </row>
    <row r="30" customFormat="false" ht="15" hidden="false" customHeight="true" outlineLevel="0" collapsed="false">
      <c r="A30" s="28" t="s">
        <v>115</v>
      </c>
      <c r="B30" s="28" t="n">
        <v>1</v>
      </c>
      <c r="C30" s="28" t="s">
        <v>679</v>
      </c>
      <c r="D30" s="28" t="s">
        <v>48</v>
      </c>
      <c r="E30" s="28" t="n">
        <f aca="false">COUNTIFS('AI Confirmed Findings'!$C$6:$C$59,C30,'AI Confirmed Findings'!$G$6:$G$59,"&lt;&gt;NONE")</f>
        <v>1</v>
      </c>
      <c r="F30" s="28" t="n">
        <f aca="false">COUNTIFS('AI Confirmed Findings'!$C$6:$C$59,C30,'AI Confirmed Findings'!$G$6:$G$59,"TARGET")</f>
        <v>1</v>
      </c>
      <c r="G30" s="28" t="n">
        <f aca="false">COUNTIFS('AI Confirmed Findings'!$C$6:$C$59,C30,'AI Confirmed Findings'!$G$6:$G$59,"EXTRA-VALID")</f>
        <v>0</v>
      </c>
      <c r="H30" s="28" t="n">
        <f aca="false">COUNTIFS('AI Confirmed Findings'!$C$6:$C$59,C30,'AI Confirmed Findings'!$G$6:$G$59,"DUPLICATE")</f>
        <v>0</v>
      </c>
      <c r="I30" s="28" t="n">
        <f aca="false">COUNTIFS('AI Confirmed Findings'!$C$6:$C$59,C30,'AI Confirmed Findings'!$G$6:$G$59,"FALSE")</f>
        <v>0</v>
      </c>
      <c r="J30" s="28" t="str">
        <f aca="false">IF(D30="Vulnerable",IF(F30&gt;0,"Y","N"),"n/a")</f>
        <v>Y</v>
      </c>
      <c r="K30" s="29" t="n">
        <f aca="false">'Independent AI Runs'!L27</f>
        <v>85</v>
      </c>
      <c r="L30" s="29" t="str">
        <f aca="false">'Independent AI Runs'!M27</f>
        <v>APPROVE</v>
      </c>
    </row>
    <row r="31" customFormat="false" ht="15" hidden="false" customHeight="true" outlineLevel="0" collapsed="false">
      <c r="A31" s="28" t="s">
        <v>115</v>
      </c>
      <c r="B31" s="28" t="n">
        <v>2</v>
      </c>
      <c r="C31" s="28" t="s">
        <v>680</v>
      </c>
      <c r="D31" s="28" t="s">
        <v>48</v>
      </c>
      <c r="E31" s="28" t="n">
        <f aca="false">COUNTIFS('AI Confirmed Findings'!$C$6:$C$59,C31,'AI Confirmed Findings'!$G$6:$G$59,"&lt;&gt;NONE")</f>
        <v>1</v>
      </c>
      <c r="F31" s="28" t="n">
        <f aca="false">COUNTIFS('AI Confirmed Findings'!$C$6:$C$59,C31,'AI Confirmed Findings'!$G$6:$G$59,"TARGET")</f>
        <v>1</v>
      </c>
      <c r="G31" s="28" t="n">
        <f aca="false">COUNTIFS('AI Confirmed Findings'!$C$6:$C$59,C31,'AI Confirmed Findings'!$G$6:$G$59,"EXTRA-VALID")</f>
        <v>0</v>
      </c>
      <c r="H31" s="28" t="n">
        <f aca="false">COUNTIFS('AI Confirmed Findings'!$C$6:$C$59,C31,'AI Confirmed Findings'!$G$6:$G$59,"DUPLICATE")</f>
        <v>0</v>
      </c>
      <c r="I31" s="28" t="n">
        <f aca="false">COUNTIFS('AI Confirmed Findings'!$C$6:$C$59,C31,'AI Confirmed Findings'!$G$6:$G$59,"FALSE")</f>
        <v>0</v>
      </c>
      <c r="J31" s="28" t="str">
        <f aca="false">IF(D31="Vulnerable",IF(F31&gt;0,"Y","N"),"n/a")</f>
        <v>Y</v>
      </c>
      <c r="K31" s="29" t="n">
        <f aca="false">'Independent AI Runs'!L28</f>
        <v>85</v>
      </c>
      <c r="L31" s="29" t="str">
        <f aca="false">'Independent AI Runs'!M28</f>
        <v>APPROVE</v>
      </c>
    </row>
    <row r="32" customFormat="false" ht="15" hidden="false" customHeight="true" outlineLevel="0" collapsed="false">
      <c r="A32" s="28" t="s">
        <v>115</v>
      </c>
      <c r="B32" s="28" t="n">
        <v>3</v>
      </c>
      <c r="C32" s="28" t="s">
        <v>681</v>
      </c>
      <c r="D32" s="28" t="s">
        <v>48</v>
      </c>
      <c r="E32" s="28" t="n">
        <f aca="false">COUNTIFS('AI Confirmed Findings'!$C$6:$C$59,C32,'AI Confirmed Findings'!$G$6:$G$59,"&lt;&gt;NONE")</f>
        <v>1</v>
      </c>
      <c r="F32" s="28" t="n">
        <f aca="false">COUNTIFS('AI Confirmed Findings'!$C$6:$C$59,C32,'AI Confirmed Findings'!$G$6:$G$59,"TARGET")</f>
        <v>1</v>
      </c>
      <c r="G32" s="28" t="n">
        <f aca="false">COUNTIFS('AI Confirmed Findings'!$C$6:$C$59,C32,'AI Confirmed Findings'!$G$6:$G$59,"EXTRA-VALID")</f>
        <v>0</v>
      </c>
      <c r="H32" s="28" t="n">
        <f aca="false">COUNTIFS('AI Confirmed Findings'!$C$6:$C$59,C32,'AI Confirmed Findings'!$G$6:$G$59,"DUPLICATE")</f>
        <v>0</v>
      </c>
      <c r="I32" s="28" t="n">
        <f aca="false">COUNTIFS('AI Confirmed Findings'!$C$6:$C$59,C32,'AI Confirmed Findings'!$G$6:$G$59,"FALSE")</f>
        <v>0</v>
      </c>
      <c r="J32" s="28" t="str">
        <f aca="false">IF(D32="Vulnerable",IF(F32&gt;0,"Y","N"),"n/a")</f>
        <v>Y</v>
      </c>
      <c r="K32" s="29" t="n">
        <f aca="false">'Independent AI Runs'!L29</f>
        <v>85</v>
      </c>
      <c r="L32" s="29" t="str">
        <f aca="false">'Independent AI Runs'!M29</f>
        <v>APPROVE</v>
      </c>
    </row>
    <row r="33" customFormat="false" ht="15" hidden="false" customHeight="true" outlineLevel="0" collapsed="false">
      <c r="A33" s="28" t="s">
        <v>123</v>
      </c>
      <c r="B33" s="28" t="n">
        <v>1</v>
      </c>
      <c r="C33" s="28" t="s">
        <v>682</v>
      </c>
      <c r="D33" s="28" t="s">
        <v>48</v>
      </c>
      <c r="E33" s="28" t="n">
        <f aca="false">COUNTIFS('AI Confirmed Findings'!$C$6:$C$59,C33,'AI Confirmed Findings'!$G$6:$G$59,"&lt;&gt;NONE")</f>
        <v>2</v>
      </c>
      <c r="F33" s="28" t="n">
        <f aca="false">COUNTIFS('AI Confirmed Findings'!$C$6:$C$59,C33,'AI Confirmed Findings'!$G$6:$G$59,"TARGET")</f>
        <v>1</v>
      </c>
      <c r="G33" s="28" t="n">
        <f aca="false">COUNTIFS('AI Confirmed Findings'!$C$6:$C$59,C33,'AI Confirmed Findings'!$G$6:$G$59,"EXTRA-VALID")</f>
        <v>0</v>
      </c>
      <c r="H33" s="28" t="n">
        <f aca="false">COUNTIFS('AI Confirmed Findings'!$C$6:$C$59,C33,'AI Confirmed Findings'!$G$6:$G$59,"DUPLICATE")</f>
        <v>0</v>
      </c>
      <c r="I33" s="28" t="n">
        <f aca="false">COUNTIFS('AI Confirmed Findings'!$C$6:$C$59,C33,'AI Confirmed Findings'!$G$6:$G$59,"FALSE")</f>
        <v>1</v>
      </c>
      <c r="J33" s="28" t="str">
        <f aca="false">IF(D33="Vulnerable",IF(F33&gt;0,"Y","N"),"n/a")</f>
        <v>Y</v>
      </c>
      <c r="K33" s="29" t="n">
        <f aca="false">'Independent AI Runs'!L30</f>
        <v>65</v>
      </c>
      <c r="L33" s="29" t="str">
        <f aca="false">'Independent AI Runs'!M30</f>
        <v>DO_NOT_MERGE</v>
      </c>
    </row>
    <row r="34" customFormat="false" ht="15" hidden="false" customHeight="true" outlineLevel="0" collapsed="false">
      <c r="A34" s="28" t="s">
        <v>123</v>
      </c>
      <c r="B34" s="28" t="n">
        <v>2</v>
      </c>
      <c r="C34" s="28" t="s">
        <v>683</v>
      </c>
      <c r="D34" s="28" t="s">
        <v>48</v>
      </c>
      <c r="E34" s="28" t="n">
        <f aca="false">COUNTIFS('AI Confirmed Findings'!$C$6:$C$59,C34,'AI Confirmed Findings'!$G$6:$G$59,"&lt;&gt;NONE")</f>
        <v>1</v>
      </c>
      <c r="F34" s="28" t="n">
        <f aca="false">COUNTIFS('AI Confirmed Findings'!$C$6:$C$59,C34,'AI Confirmed Findings'!$G$6:$G$59,"TARGET")</f>
        <v>1</v>
      </c>
      <c r="G34" s="28" t="n">
        <f aca="false">COUNTIFS('AI Confirmed Findings'!$C$6:$C$59,C34,'AI Confirmed Findings'!$G$6:$G$59,"EXTRA-VALID")</f>
        <v>0</v>
      </c>
      <c r="H34" s="28" t="n">
        <f aca="false">COUNTIFS('AI Confirmed Findings'!$C$6:$C$59,C34,'AI Confirmed Findings'!$G$6:$G$59,"DUPLICATE")</f>
        <v>0</v>
      </c>
      <c r="I34" s="28" t="n">
        <f aca="false">COUNTIFS('AI Confirmed Findings'!$C$6:$C$59,C34,'AI Confirmed Findings'!$G$6:$G$59,"FALSE")</f>
        <v>0</v>
      </c>
      <c r="J34" s="28" t="str">
        <f aca="false">IF(D34="Vulnerable",IF(F34&gt;0,"Y","N"),"n/a")</f>
        <v>Y</v>
      </c>
      <c r="K34" s="29" t="n">
        <f aca="false">'Independent AI Runs'!L31</f>
        <v>70</v>
      </c>
      <c r="L34" s="29" t="str">
        <f aca="false">'Independent AI Runs'!M31</f>
        <v>APPROVE_WITH_COMMENTS</v>
      </c>
    </row>
    <row r="35" customFormat="false" ht="15" hidden="false" customHeight="true" outlineLevel="0" collapsed="false">
      <c r="A35" s="28" t="s">
        <v>123</v>
      </c>
      <c r="B35" s="28" t="n">
        <v>3</v>
      </c>
      <c r="C35" s="28" t="s">
        <v>684</v>
      </c>
      <c r="D35" s="28" t="s">
        <v>48</v>
      </c>
      <c r="E35" s="28" t="n">
        <f aca="false">COUNTIFS('AI Confirmed Findings'!$C$6:$C$59,C35,'AI Confirmed Findings'!$G$6:$G$59,"&lt;&gt;NONE")</f>
        <v>2</v>
      </c>
      <c r="F35" s="28" t="n">
        <f aca="false">COUNTIFS('AI Confirmed Findings'!$C$6:$C$59,C35,'AI Confirmed Findings'!$G$6:$G$59,"TARGET")</f>
        <v>1</v>
      </c>
      <c r="G35" s="28" t="n">
        <f aca="false">COUNTIFS('AI Confirmed Findings'!$C$6:$C$59,C35,'AI Confirmed Findings'!$G$6:$G$59,"EXTRA-VALID")</f>
        <v>0</v>
      </c>
      <c r="H35" s="28" t="n">
        <f aca="false">COUNTIFS('AI Confirmed Findings'!$C$6:$C$59,C35,'AI Confirmed Findings'!$G$6:$G$59,"DUPLICATE")</f>
        <v>0</v>
      </c>
      <c r="I35" s="28" t="n">
        <f aca="false">COUNTIFS('AI Confirmed Findings'!$C$6:$C$59,C35,'AI Confirmed Findings'!$G$6:$G$59,"FALSE")</f>
        <v>1</v>
      </c>
      <c r="J35" s="28" t="str">
        <f aca="false">IF(D35="Vulnerable",IF(F35&gt;0,"Y","N"),"n/a")</f>
        <v>Y</v>
      </c>
      <c r="K35" s="29" t="n">
        <f aca="false">'Independent AI Runs'!L32</f>
        <v>65</v>
      </c>
      <c r="L35" s="29" t="str">
        <f aca="false">'Independent AI Runs'!M32</f>
        <v>DO_NOT_MERGE</v>
      </c>
    </row>
    <row r="36" customFormat="false" ht="15" hidden="false" customHeight="true" outlineLevel="0" collapsed="false">
      <c r="A36" s="28" t="s">
        <v>132</v>
      </c>
      <c r="B36" s="28" t="n">
        <v>1</v>
      </c>
      <c r="C36" s="28" t="s">
        <v>685</v>
      </c>
      <c r="D36" s="28" t="s">
        <v>48</v>
      </c>
      <c r="E36" s="28" t="n">
        <f aca="false">COUNTIFS('AI Confirmed Findings'!$C$6:$C$59,C36,'AI Confirmed Findings'!$G$6:$G$59,"&lt;&gt;NONE")</f>
        <v>1</v>
      </c>
      <c r="F36" s="28" t="n">
        <f aca="false">COUNTIFS('AI Confirmed Findings'!$C$6:$C$59,C36,'AI Confirmed Findings'!$G$6:$G$59,"TARGET")</f>
        <v>1</v>
      </c>
      <c r="G36" s="28" t="n">
        <f aca="false">COUNTIFS('AI Confirmed Findings'!$C$6:$C$59,C36,'AI Confirmed Findings'!$G$6:$G$59,"EXTRA-VALID")</f>
        <v>0</v>
      </c>
      <c r="H36" s="28" t="n">
        <f aca="false">COUNTIFS('AI Confirmed Findings'!$C$6:$C$59,C36,'AI Confirmed Findings'!$G$6:$G$59,"DUPLICATE")</f>
        <v>0</v>
      </c>
      <c r="I36" s="28" t="n">
        <f aca="false">COUNTIFS('AI Confirmed Findings'!$C$6:$C$59,C36,'AI Confirmed Findings'!$G$6:$G$59,"FALSE")</f>
        <v>0</v>
      </c>
      <c r="J36" s="28" t="str">
        <f aca="false">IF(D36="Vulnerable",IF(F36&gt;0,"Y","N"),"n/a")</f>
        <v>Y</v>
      </c>
      <c r="K36" s="29" t="n">
        <f aca="false">'Independent AI Runs'!L33</f>
        <v>70</v>
      </c>
      <c r="L36" s="29" t="str">
        <f aca="false">'Independent AI Runs'!M33</f>
        <v>APPROVE_WITH_COMMENTS</v>
      </c>
    </row>
    <row r="37" customFormat="false" ht="15" hidden="false" customHeight="true" outlineLevel="0" collapsed="false">
      <c r="A37" s="28" t="s">
        <v>132</v>
      </c>
      <c r="B37" s="28" t="n">
        <v>2</v>
      </c>
      <c r="C37" s="28" t="s">
        <v>686</v>
      </c>
      <c r="D37" s="28" t="s">
        <v>48</v>
      </c>
      <c r="E37" s="28" t="n">
        <f aca="false">COUNTIFS('AI Confirmed Findings'!$C$6:$C$59,C37,'AI Confirmed Findings'!$G$6:$G$59,"&lt;&gt;NONE")</f>
        <v>1</v>
      </c>
      <c r="F37" s="28" t="n">
        <f aca="false">COUNTIFS('AI Confirmed Findings'!$C$6:$C$59,C37,'AI Confirmed Findings'!$G$6:$G$59,"TARGET")</f>
        <v>1</v>
      </c>
      <c r="G37" s="28" t="n">
        <f aca="false">COUNTIFS('AI Confirmed Findings'!$C$6:$C$59,C37,'AI Confirmed Findings'!$G$6:$G$59,"EXTRA-VALID")</f>
        <v>0</v>
      </c>
      <c r="H37" s="28" t="n">
        <f aca="false">COUNTIFS('AI Confirmed Findings'!$C$6:$C$59,C37,'AI Confirmed Findings'!$G$6:$G$59,"DUPLICATE")</f>
        <v>0</v>
      </c>
      <c r="I37" s="28" t="n">
        <f aca="false">COUNTIFS('AI Confirmed Findings'!$C$6:$C$59,C37,'AI Confirmed Findings'!$G$6:$G$59,"FALSE")</f>
        <v>0</v>
      </c>
      <c r="J37" s="28" t="str">
        <f aca="false">IF(D37="Vulnerable",IF(F37&gt;0,"Y","N"),"n/a")</f>
        <v>Y</v>
      </c>
      <c r="K37" s="29" t="n">
        <f aca="false">'Independent AI Runs'!L34</f>
        <v>70</v>
      </c>
      <c r="L37" s="29" t="str">
        <f aca="false">'Independent AI Runs'!M34</f>
        <v>APPROVE_WITH_COMMENTS</v>
      </c>
    </row>
    <row r="38" customFormat="false" ht="15" hidden="false" customHeight="true" outlineLevel="0" collapsed="false">
      <c r="A38" s="28" t="s">
        <v>132</v>
      </c>
      <c r="B38" s="28" t="n">
        <v>3</v>
      </c>
      <c r="C38" s="28" t="s">
        <v>687</v>
      </c>
      <c r="D38" s="28" t="s">
        <v>48</v>
      </c>
      <c r="E38" s="28" t="n">
        <f aca="false">COUNTIFS('AI Confirmed Findings'!$C$6:$C$59,C38,'AI Confirmed Findings'!$G$6:$G$59,"&lt;&gt;NONE")</f>
        <v>1</v>
      </c>
      <c r="F38" s="28" t="n">
        <f aca="false">COUNTIFS('AI Confirmed Findings'!$C$6:$C$59,C38,'AI Confirmed Findings'!$G$6:$G$59,"TARGET")</f>
        <v>1</v>
      </c>
      <c r="G38" s="28" t="n">
        <f aca="false">COUNTIFS('AI Confirmed Findings'!$C$6:$C$59,C38,'AI Confirmed Findings'!$G$6:$G$59,"EXTRA-VALID")</f>
        <v>0</v>
      </c>
      <c r="H38" s="28" t="n">
        <f aca="false">COUNTIFS('AI Confirmed Findings'!$C$6:$C$59,C38,'AI Confirmed Findings'!$G$6:$G$59,"DUPLICATE")</f>
        <v>0</v>
      </c>
      <c r="I38" s="28" t="n">
        <f aca="false">COUNTIFS('AI Confirmed Findings'!$C$6:$C$59,C38,'AI Confirmed Findings'!$G$6:$G$59,"FALSE")</f>
        <v>0</v>
      </c>
      <c r="J38" s="28" t="str">
        <f aca="false">IF(D38="Vulnerable",IF(F38&gt;0,"Y","N"),"n/a")</f>
        <v>Y</v>
      </c>
      <c r="K38" s="29" t="n">
        <f aca="false">'Independent AI Runs'!L35</f>
        <v>70</v>
      </c>
      <c r="L38" s="29" t="str">
        <f aca="false">'Independent AI Runs'!M35</f>
        <v>APPROVE_WITH_COMMENTS</v>
      </c>
    </row>
    <row r="39" customFormat="false" ht="15" hidden="false" customHeight="true" outlineLevel="0" collapsed="false">
      <c r="A39" s="28" t="s">
        <v>139</v>
      </c>
      <c r="B39" s="28" t="n">
        <v>1</v>
      </c>
      <c r="C39" s="28" t="s">
        <v>688</v>
      </c>
      <c r="D39" s="28" t="s">
        <v>142</v>
      </c>
      <c r="E39" s="28" t="n">
        <f aca="false">COUNTIFS('AI Confirmed Findings'!$C$6:$C$59,C39,'AI Confirmed Findings'!$G$6:$G$59,"&lt;&gt;NONE")</f>
        <v>3</v>
      </c>
      <c r="F39" s="28" t="n">
        <f aca="false">COUNTIFS('AI Confirmed Findings'!$C$6:$C$59,C39,'AI Confirmed Findings'!$G$6:$G$59,"TARGET")</f>
        <v>0</v>
      </c>
      <c r="G39" s="28" t="n">
        <f aca="false">COUNTIFS('AI Confirmed Findings'!$C$6:$C$59,C39,'AI Confirmed Findings'!$G$6:$G$59,"EXTRA-VALID")</f>
        <v>0</v>
      </c>
      <c r="H39" s="28" t="n">
        <f aca="false">COUNTIFS('AI Confirmed Findings'!$C$6:$C$59,C39,'AI Confirmed Findings'!$G$6:$G$59,"DUPLICATE")</f>
        <v>0</v>
      </c>
      <c r="I39" s="28" t="n">
        <f aca="false">COUNTIFS('AI Confirmed Findings'!$C$6:$C$59,C39,'AI Confirmed Findings'!$G$6:$G$59,"FALSE")</f>
        <v>3</v>
      </c>
      <c r="J39" s="28" t="str">
        <f aca="false">IF(D39="Vulnerable",IF(F39&gt;0,"Y","N"),"n/a")</f>
        <v>n/a</v>
      </c>
      <c r="K39" s="29" t="n">
        <f aca="false">'Independent AI Runs'!L36</f>
        <v>50</v>
      </c>
      <c r="L39" s="29" t="str">
        <f aca="false">'Independent AI Runs'!M36</f>
        <v>DO_NOT_MERGE</v>
      </c>
    </row>
    <row r="40" customFormat="false" ht="15" hidden="false" customHeight="true" outlineLevel="0" collapsed="false">
      <c r="A40" s="28" t="s">
        <v>139</v>
      </c>
      <c r="B40" s="28" t="n">
        <v>2</v>
      </c>
      <c r="C40" s="28" t="s">
        <v>689</v>
      </c>
      <c r="D40" s="28" t="s">
        <v>142</v>
      </c>
      <c r="E40" s="28" t="n">
        <f aca="false">COUNTIFS('AI Confirmed Findings'!$C$6:$C$59,C40,'AI Confirmed Findings'!$G$6:$G$59,"&lt;&gt;NONE")</f>
        <v>1</v>
      </c>
      <c r="F40" s="28" t="n">
        <f aca="false">COUNTIFS('AI Confirmed Findings'!$C$6:$C$59,C40,'AI Confirmed Findings'!$G$6:$G$59,"TARGET")</f>
        <v>0</v>
      </c>
      <c r="G40" s="28" t="n">
        <f aca="false">COUNTIFS('AI Confirmed Findings'!$C$6:$C$59,C40,'AI Confirmed Findings'!$G$6:$G$59,"EXTRA-VALID")</f>
        <v>0</v>
      </c>
      <c r="H40" s="28" t="n">
        <f aca="false">COUNTIFS('AI Confirmed Findings'!$C$6:$C$59,C40,'AI Confirmed Findings'!$G$6:$G$59,"DUPLICATE")</f>
        <v>0</v>
      </c>
      <c r="I40" s="28" t="n">
        <f aca="false">COUNTIFS('AI Confirmed Findings'!$C$6:$C$59,C40,'AI Confirmed Findings'!$G$6:$G$59,"FALSE")</f>
        <v>1</v>
      </c>
      <c r="J40" s="28" t="str">
        <f aca="false">IF(D40="Vulnerable",IF(F40&gt;0,"Y","N"),"n/a")</f>
        <v>n/a</v>
      </c>
      <c r="K40" s="29" t="n">
        <f aca="false">'Independent AI Runs'!L37</f>
        <v>95</v>
      </c>
      <c r="L40" s="29" t="str">
        <f aca="false">'Independent AI Runs'!M37</f>
        <v>APPROVE</v>
      </c>
    </row>
    <row r="41" customFormat="false" ht="15" hidden="false" customHeight="true" outlineLevel="0" collapsed="false">
      <c r="A41" s="28" t="s">
        <v>139</v>
      </c>
      <c r="B41" s="28" t="n">
        <v>3</v>
      </c>
      <c r="C41" s="28" t="s">
        <v>690</v>
      </c>
      <c r="D41" s="28" t="s">
        <v>142</v>
      </c>
      <c r="E41" s="28" t="n">
        <f aca="false">COUNTIFS('AI Confirmed Findings'!$C$6:$C$59,C41,'AI Confirmed Findings'!$G$6:$G$59,"&lt;&gt;NONE")</f>
        <v>0</v>
      </c>
      <c r="F41" s="28" t="n">
        <f aca="false">COUNTIFS('AI Confirmed Findings'!$C$6:$C$59,C41,'AI Confirmed Findings'!$G$6:$G$59,"TARGET")</f>
        <v>0</v>
      </c>
      <c r="G41" s="28" t="n">
        <f aca="false">COUNTIFS('AI Confirmed Findings'!$C$6:$C$59,C41,'AI Confirmed Findings'!$G$6:$G$59,"EXTRA-VALID")</f>
        <v>0</v>
      </c>
      <c r="H41" s="28" t="n">
        <f aca="false">COUNTIFS('AI Confirmed Findings'!$C$6:$C$59,C41,'AI Confirmed Findings'!$G$6:$G$59,"DUPLICATE")</f>
        <v>0</v>
      </c>
      <c r="I41" s="28" t="n">
        <f aca="false">COUNTIFS('AI Confirmed Findings'!$C$6:$C$59,C41,'AI Confirmed Findings'!$G$6:$G$59,"FALSE")</f>
        <v>0</v>
      </c>
      <c r="J41" s="28" t="str">
        <f aca="false">IF(D41="Vulnerable",IF(F41&gt;0,"Y","N"),"n/a")</f>
        <v>n/a</v>
      </c>
      <c r="K41" s="29" t="n">
        <f aca="false">'Independent AI Runs'!L38</f>
        <v>100</v>
      </c>
      <c r="L41" s="29" t="str">
        <f aca="false">'Independent AI Runs'!M38</f>
        <v>APPROVE</v>
      </c>
    </row>
    <row r="42" customFormat="false" ht="15" hidden="false" customHeight="true" outlineLevel="0" collapsed="false">
      <c r="A42" s="28" t="s">
        <v>194</v>
      </c>
      <c r="B42" s="28" t="n">
        <v>1</v>
      </c>
      <c r="C42" s="28" t="s">
        <v>691</v>
      </c>
      <c r="D42" s="28" t="s">
        <v>48</v>
      </c>
      <c r="E42" s="28" t="n">
        <f aca="false">COUNTIFS('AI Confirmed Findings'!$C$6:$C$59,C42,'AI Confirmed Findings'!$G$6:$G$59,"&lt;&gt;NONE")</f>
        <v>1</v>
      </c>
      <c r="F42" s="28" t="n">
        <f aca="false">COUNTIFS('AI Confirmed Findings'!$C$6:$C$59,C42,'AI Confirmed Findings'!$G$6:$G$59,"TARGET")</f>
        <v>1</v>
      </c>
      <c r="G42" s="28" t="n">
        <f aca="false">COUNTIFS('AI Confirmed Findings'!$C$6:$C$59,C42,'AI Confirmed Findings'!$G$6:$G$59,"EXTRA-VALID")</f>
        <v>0</v>
      </c>
      <c r="H42" s="28" t="n">
        <f aca="false">COUNTIFS('AI Confirmed Findings'!$C$6:$C$59,C42,'AI Confirmed Findings'!$G$6:$G$59,"DUPLICATE")</f>
        <v>0</v>
      </c>
      <c r="I42" s="28" t="n">
        <f aca="false">COUNTIFS('AI Confirmed Findings'!$C$6:$C$59,C42,'AI Confirmed Findings'!$G$6:$G$59,"FALSE")</f>
        <v>0</v>
      </c>
      <c r="J42" s="28" t="str">
        <f aca="false">IF(D42="Vulnerable",IF(F42&gt;0,"Y","N"),"n/a")</f>
        <v>Y</v>
      </c>
      <c r="K42" s="30" t="n">
        <v>70</v>
      </c>
      <c r="L42" s="30" t="s">
        <v>560</v>
      </c>
    </row>
    <row r="43" customFormat="false" ht="15" hidden="false" customHeight="true" outlineLevel="0" collapsed="false">
      <c r="A43" s="28" t="s">
        <v>194</v>
      </c>
      <c r="B43" s="28" t="n">
        <v>2</v>
      </c>
      <c r="C43" s="28" t="s">
        <v>692</v>
      </c>
      <c r="D43" s="28" t="s">
        <v>48</v>
      </c>
      <c r="E43" s="28" t="n">
        <f aca="false">COUNTIFS('AI Confirmed Findings'!$C$6:$C$59,C43,'AI Confirmed Findings'!$G$6:$G$59,"&lt;&gt;NONE")</f>
        <v>1</v>
      </c>
      <c r="F43" s="28" t="n">
        <f aca="false">COUNTIFS('AI Confirmed Findings'!$C$6:$C$59,C43,'AI Confirmed Findings'!$G$6:$G$59,"TARGET")</f>
        <v>1</v>
      </c>
      <c r="G43" s="28" t="n">
        <f aca="false">COUNTIFS('AI Confirmed Findings'!$C$6:$C$59,C43,'AI Confirmed Findings'!$G$6:$G$59,"EXTRA-VALID")</f>
        <v>0</v>
      </c>
      <c r="H43" s="28" t="n">
        <f aca="false">COUNTIFS('AI Confirmed Findings'!$C$6:$C$59,C43,'AI Confirmed Findings'!$G$6:$G$59,"DUPLICATE")</f>
        <v>0</v>
      </c>
      <c r="I43" s="28" t="n">
        <f aca="false">COUNTIFS('AI Confirmed Findings'!$C$6:$C$59,C43,'AI Confirmed Findings'!$G$6:$G$59,"FALSE")</f>
        <v>0</v>
      </c>
      <c r="J43" s="28" t="str">
        <f aca="false">IF(D43="Vulnerable",IF(F43&gt;0,"Y","N"),"n/a")</f>
        <v>Y</v>
      </c>
      <c r="K43" s="30" t="n">
        <v>70</v>
      </c>
      <c r="L43" s="30" t="s">
        <v>560</v>
      </c>
    </row>
    <row r="44" customFormat="false" ht="15" hidden="false" customHeight="true" outlineLevel="0" collapsed="false">
      <c r="A44" s="28" t="s">
        <v>194</v>
      </c>
      <c r="B44" s="28" t="n">
        <v>3</v>
      </c>
      <c r="C44" s="28" t="s">
        <v>693</v>
      </c>
      <c r="D44" s="28" t="s">
        <v>48</v>
      </c>
      <c r="E44" s="28" t="n">
        <f aca="false">COUNTIFS('AI Confirmed Findings'!$C$6:$C$59,C44,'AI Confirmed Findings'!$G$6:$G$59,"&lt;&gt;NONE")</f>
        <v>1</v>
      </c>
      <c r="F44" s="28" t="n">
        <f aca="false">COUNTIFS('AI Confirmed Findings'!$C$6:$C$59,C44,'AI Confirmed Findings'!$G$6:$G$59,"TARGET")</f>
        <v>1</v>
      </c>
      <c r="G44" s="28" t="n">
        <f aca="false">COUNTIFS('AI Confirmed Findings'!$C$6:$C$59,C44,'AI Confirmed Findings'!$G$6:$G$59,"EXTRA-VALID")</f>
        <v>0</v>
      </c>
      <c r="H44" s="28" t="n">
        <f aca="false">COUNTIFS('AI Confirmed Findings'!$C$6:$C$59,C44,'AI Confirmed Findings'!$G$6:$G$59,"DUPLICATE")</f>
        <v>0</v>
      </c>
      <c r="I44" s="28" t="n">
        <f aca="false">COUNTIFS('AI Confirmed Findings'!$C$6:$C$59,C44,'AI Confirmed Findings'!$G$6:$G$59,"FALSE")</f>
        <v>0</v>
      </c>
      <c r="J44" s="28" t="str">
        <f aca="false">IF(D44="Vulnerable",IF(F44&gt;0,"Y","N"),"n/a")</f>
        <v>Y</v>
      </c>
      <c r="K44" s="30" t="n">
        <v>70</v>
      </c>
      <c r="L44" s="30" t="s">
        <v>560</v>
      </c>
    </row>
    <row r="45" customFormat="false" ht="15" hidden="false" customHeight="true" outlineLevel="0" collapsed="false">
      <c r="A45" s="28" t="s">
        <v>196</v>
      </c>
      <c r="B45" s="28" t="n">
        <v>1</v>
      </c>
      <c r="C45" s="28" t="s">
        <v>694</v>
      </c>
      <c r="D45" s="28" t="s">
        <v>35</v>
      </c>
      <c r="E45" s="28" t="n">
        <f aca="false">COUNTIFS('AI Confirmed Findings'!$C$6:$C$59,C45,'AI Confirmed Findings'!$G$6:$G$59,"&lt;&gt;NONE")</f>
        <v>1</v>
      </c>
      <c r="F45" s="28" t="n">
        <f aca="false">COUNTIFS('AI Confirmed Findings'!$C$6:$C$59,C45,'AI Confirmed Findings'!$G$6:$G$59,"TARGET")</f>
        <v>0</v>
      </c>
      <c r="G45" s="28" t="n">
        <f aca="false">COUNTIFS('AI Confirmed Findings'!$C$6:$C$59,C45,'AI Confirmed Findings'!$G$6:$G$59,"EXTRA-VALID")</f>
        <v>0</v>
      </c>
      <c r="H45" s="28" t="n">
        <f aca="false">COUNTIFS('AI Confirmed Findings'!$C$6:$C$59,C45,'AI Confirmed Findings'!$G$6:$G$59,"DUPLICATE")</f>
        <v>0</v>
      </c>
      <c r="I45" s="28" t="n">
        <f aca="false">COUNTIFS('AI Confirmed Findings'!$C$6:$C$59,C45,'AI Confirmed Findings'!$G$6:$G$59,"FALSE")</f>
        <v>1</v>
      </c>
      <c r="J45" s="28" t="str">
        <f aca="false">IF(D45="Vulnerable",IF(F45&gt;0,"Y","N"),"n/a")</f>
        <v>n/a</v>
      </c>
      <c r="K45" s="30" t="n">
        <v>95</v>
      </c>
      <c r="L45" s="30" t="s">
        <v>553</v>
      </c>
    </row>
    <row r="46" customFormat="false" ht="15" hidden="false" customHeight="true" outlineLevel="0" collapsed="false">
      <c r="A46" s="28" t="s">
        <v>196</v>
      </c>
      <c r="B46" s="28" t="n">
        <v>2</v>
      </c>
      <c r="C46" s="28" t="s">
        <v>695</v>
      </c>
      <c r="D46" s="28" t="s">
        <v>35</v>
      </c>
      <c r="E46" s="28" t="n">
        <f aca="false">COUNTIFS('AI Confirmed Findings'!$C$6:$C$59,C46,'AI Confirmed Findings'!$G$6:$G$59,"&lt;&gt;NONE")</f>
        <v>0</v>
      </c>
      <c r="F46" s="28" t="n">
        <f aca="false">COUNTIFS('AI Confirmed Findings'!$C$6:$C$59,C46,'AI Confirmed Findings'!$G$6:$G$59,"TARGET")</f>
        <v>0</v>
      </c>
      <c r="G46" s="28" t="n">
        <f aca="false">COUNTIFS('AI Confirmed Findings'!$C$6:$C$59,C46,'AI Confirmed Findings'!$G$6:$G$59,"EXTRA-VALID")</f>
        <v>0</v>
      </c>
      <c r="H46" s="28" t="n">
        <f aca="false">COUNTIFS('AI Confirmed Findings'!$C$6:$C$59,C46,'AI Confirmed Findings'!$G$6:$G$59,"DUPLICATE")</f>
        <v>0</v>
      </c>
      <c r="I46" s="28" t="n">
        <f aca="false">COUNTIFS('AI Confirmed Findings'!$C$6:$C$59,C46,'AI Confirmed Findings'!$G$6:$G$59,"FALSE")</f>
        <v>0</v>
      </c>
      <c r="J46" s="28" t="str">
        <f aca="false">IF(D46="Vulnerable",IF(F46&gt;0,"Y","N"),"n/a")</f>
        <v>n/a</v>
      </c>
      <c r="K46" s="30" t="n">
        <v>100</v>
      </c>
      <c r="L46" s="30" t="s">
        <v>553</v>
      </c>
    </row>
    <row r="47" customFormat="false" ht="15" hidden="false" customHeight="true" outlineLevel="0" collapsed="false">
      <c r="A47" s="28" t="s">
        <v>196</v>
      </c>
      <c r="B47" s="28" t="n">
        <v>3</v>
      </c>
      <c r="C47" s="28" t="s">
        <v>696</v>
      </c>
      <c r="D47" s="28" t="s">
        <v>35</v>
      </c>
      <c r="E47" s="28" t="n">
        <f aca="false">COUNTIFS('AI Confirmed Findings'!$C$6:$C$59,C47,'AI Confirmed Findings'!$G$6:$G$59,"&lt;&gt;NONE")</f>
        <v>0</v>
      </c>
      <c r="F47" s="28" t="n">
        <f aca="false">COUNTIFS('AI Confirmed Findings'!$C$6:$C$59,C47,'AI Confirmed Findings'!$G$6:$G$59,"TARGET")</f>
        <v>0</v>
      </c>
      <c r="G47" s="28" t="n">
        <f aca="false">COUNTIFS('AI Confirmed Findings'!$C$6:$C$59,C47,'AI Confirmed Findings'!$G$6:$G$59,"EXTRA-VALID")</f>
        <v>0</v>
      </c>
      <c r="H47" s="28" t="n">
        <f aca="false">COUNTIFS('AI Confirmed Findings'!$C$6:$C$59,C47,'AI Confirmed Findings'!$G$6:$G$59,"DUPLICATE")</f>
        <v>0</v>
      </c>
      <c r="I47" s="28" t="n">
        <f aca="false">COUNTIFS('AI Confirmed Findings'!$C$6:$C$59,C47,'AI Confirmed Findings'!$G$6:$G$59,"FALSE")</f>
        <v>0</v>
      </c>
      <c r="J47" s="28" t="str">
        <f aca="false">IF(D47="Vulnerable",IF(F47&gt;0,"Y","N"),"n/a")</f>
        <v>n/a</v>
      </c>
      <c r="K47" s="30" t="n">
        <v>100</v>
      </c>
      <c r="L47" s="30" t="s">
        <v>553</v>
      </c>
    </row>
    <row r="48" customFormat="false" ht="15" hidden="false" customHeight="true" outlineLevel="0" collapsed="false">
      <c r="A48" s="28" t="s">
        <v>198</v>
      </c>
      <c r="B48" s="28" t="n">
        <v>1</v>
      </c>
      <c r="C48" s="28" t="s">
        <v>697</v>
      </c>
      <c r="D48" s="28" t="s">
        <v>48</v>
      </c>
      <c r="E48" s="28" t="n">
        <f aca="false">COUNTIFS('AI Confirmed Findings'!$C$6:$C$59,C48,'AI Confirmed Findings'!$G$6:$G$59,"&lt;&gt;NONE")</f>
        <v>1</v>
      </c>
      <c r="F48" s="28" t="n">
        <f aca="false">COUNTIFS('AI Confirmed Findings'!$C$6:$C$59,C48,'AI Confirmed Findings'!$G$6:$G$59,"TARGET")</f>
        <v>1</v>
      </c>
      <c r="G48" s="28" t="n">
        <f aca="false">COUNTIFS('AI Confirmed Findings'!$C$6:$C$59,C48,'AI Confirmed Findings'!$G$6:$G$59,"EXTRA-VALID")</f>
        <v>0</v>
      </c>
      <c r="H48" s="28" t="n">
        <f aca="false">COUNTIFS('AI Confirmed Findings'!$C$6:$C$59,C48,'AI Confirmed Findings'!$G$6:$G$59,"DUPLICATE")</f>
        <v>0</v>
      </c>
      <c r="I48" s="28" t="n">
        <f aca="false">COUNTIFS('AI Confirmed Findings'!$C$6:$C$59,C48,'AI Confirmed Findings'!$G$6:$G$59,"FALSE")</f>
        <v>0</v>
      </c>
      <c r="J48" s="28" t="str">
        <f aca="false">IF(D48="Vulnerable",IF(F48&gt;0,"Y","N"),"n/a")</f>
        <v>Y</v>
      </c>
      <c r="K48" s="30" t="n">
        <v>70</v>
      </c>
      <c r="L48" s="30" t="s">
        <v>560</v>
      </c>
    </row>
    <row r="49" customFormat="false" ht="15" hidden="false" customHeight="true" outlineLevel="0" collapsed="false">
      <c r="A49" s="28" t="s">
        <v>198</v>
      </c>
      <c r="B49" s="28" t="n">
        <v>2</v>
      </c>
      <c r="C49" s="28" t="s">
        <v>698</v>
      </c>
      <c r="D49" s="28" t="s">
        <v>48</v>
      </c>
      <c r="E49" s="28" t="n">
        <f aca="false">COUNTIFS('AI Confirmed Findings'!$C$6:$C$59,C49,'AI Confirmed Findings'!$G$6:$G$59,"&lt;&gt;NONE")</f>
        <v>1</v>
      </c>
      <c r="F49" s="28" t="n">
        <f aca="false">COUNTIFS('AI Confirmed Findings'!$C$6:$C$59,C49,'AI Confirmed Findings'!$G$6:$G$59,"TARGET")</f>
        <v>1</v>
      </c>
      <c r="G49" s="28" t="n">
        <f aca="false">COUNTIFS('AI Confirmed Findings'!$C$6:$C$59,C49,'AI Confirmed Findings'!$G$6:$G$59,"EXTRA-VALID")</f>
        <v>0</v>
      </c>
      <c r="H49" s="28" t="n">
        <f aca="false">COUNTIFS('AI Confirmed Findings'!$C$6:$C$59,C49,'AI Confirmed Findings'!$G$6:$G$59,"DUPLICATE")</f>
        <v>0</v>
      </c>
      <c r="I49" s="28" t="n">
        <f aca="false">COUNTIFS('AI Confirmed Findings'!$C$6:$C$59,C49,'AI Confirmed Findings'!$G$6:$G$59,"FALSE")</f>
        <v>0</v>
      </c>
      <c r="J49" s="28" t="str">
        <f aca="false">IF(D49="Vulnerable",IF(F49&gt;0,"Y","N"),"n/a")</f>
        <v>Y</v>
      </c>
      <c r="K49" s="30" t="n">
        <v>70</v>
      </c>
      <c r="L49" s="30" t="s">
        <v>560</v>
      </c>
    </row>
    <row r="50" customFormat="false" ht="15" hidden="false" customHeight="true" outlineLevel="0" collapsed="false">
      <c r="A50" s="28" t="s">
        <v>198</v>
      </c>
      <c r="B50" s="28" t="n">
        <v>3</v>
      </c>
      <c r="C50" s="28" t="s">
        <v>699</v>
      </c>
      <c r="D50" s="28" t="s">
        <v>48</v>
      </c>
      <c r="E50" s="28" t="n">
        <f aca="false">COUNTIFS('AI Confirmed Findings'!$C$6:$C$59,C50,'AI Confirmed Findings'!$G$6:$G$59,"&lt;&gt;NONE")</f>
        <v>1</v>
      </c>
      <c r="F50" s="28" t="n">
        <f aca="false">COUNTIFS('AI Confirmed Findings'!$C$6:$C$59,C50,'AI Confirmed Findings'!$G$6:$G$59,"TARGET")</f>
        <v>1</v>
      </c>
      <c r="G50" s="28" t="n">
        <f aca="false">COUNTIFS('AI Confirmed Findings'!$C$6:$C$59,C50,'AI Confirmed Findings'!$G$6:$G$59,"EXTRA-VALID")</f>
        <v>0</v>
      </c>
      <c r="H50" s="28" t="n">
        <f aca="false">COUNTIFS('AI Confirmed Findings'!$C$6:$C$59,C50,'AI Confirmed Findings'!$G$6:$G$59,"DUPLICATE")</f>
        <v>0</v>
      </c>
      <c r="I50" s="28" t="n">
        <f aca="false">COUNTIFS('AI Confirmed Findings'!$C$6:$C$59,C50,'AI Confirmed Findings'!$G$6:$G$59,"FALSE")</f>
        <v>0</v>
      </c>
      <c r="J50" s="28" t="str">
        <f aca="false">IF(D50="Vulnerable",IF(F50&gt;0,"Y","N"),"n/a")</f>
        <v>Y</v>
      </c>
      <c r="K50" s="30" t="n">
        <v>70</v>
      </c>
      <c r="L50" s="30" t="s">
        <v>560</v>
      </c>
    </row>
  </sheetData>
  <autoFilter ref="A4:L50"/>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
    <col collapsed="false" customWidth="true" hidden="false" outlineLevel="0" max="3" min="3" style="1" width="13"/>
    <col collapsed="false" customWidth="true" hidden="false" outlineLevel="0" max="4" min="4" style="1" width="8"/>
    <col collapsed="false" customWidth="true" hidden="false" outlineLevel="0" max="5" min="5" style="1" width="9"/>
    <col collapsed="false" customWidth="true" hidden="false" outlineLevel="0" max="6" min="6" style="1" width="70"/>
    <col collapsed="false" customWidth="true" hidden="false" outlineLevel="0" max="7" min="7" style="1" width="13"/>
    <col collapsed="false" customWidth="true" hidden="false" outlineLevel="0" max="8" min="8" style="1" width="70"/>
    <col collapsed="false" customWidth="true" hidden="false" outlineLevel="0" max="9" min="9" style="1" width="30"/>
  </cols>
  <sheetData>
    <row r="1" customFormat="false" ht="17.25" hidden="false" customHeight="true" outlineLevel="0" collapsed="false">
      <c r="A1" s="13" t="s">
        <v>700</v>
      </c>
    </row>
    <row r="2" customFormat="false" ht="45" hidden="false" customHeight="true" outlineLevel="0" collapsed="false">
      <c r="A2" s="16" t="s">
        <v>701</v>
      </c>
      <c r="B2" s="16"/>
      <c r="C2" s="16"/>
      <c r="D2" s="16"/>
      <c r="E2" s="16"/>
      <c r="F2" s="16"/>
      <c r="G2" s="16"/>
      <c r="H2" s="16"/>
      <c r="I2" s="16"/>
    </row>
    <row r="3" customFormat="false" ht="30" hidden="false" customHeight="true" outlineLevel="0" collapsed="false">
      <c r="A3" s="16" t="s">
        <v>702</v>
      </c>
      <c r="B3" s="16"/>
      <c r="C3" s="16"/>
      <c r="D3" s="16"/>
      <c r="E3" s="16"/>
      <c r="F3" s="16"/>
      <c r="G3" s="16"/>
      <c r="H3" s="16"/>
      <c r="I3" s="16"/>
    </row>
    <row r="5" customFormat="false" ht="26.25" hidden="false" customHeight="true" outlineLevel="0" collapsed="false">
      <c r="A5" s="17" t="s">
        <v>185</v>
      </c>
      <c r="B5" s="17" t="s">
        <v>648</v>
      </c>
      <c r="C5" s="17" t="s">
        <v>534</v>
      </c>
      <c r="D5" s="17" t="s">
        <v>703</v>
      </c>
      <c r="E5" s="17" t="s">
        <v>704</v>
      </c>
      <c r="F5" s="17" t="s">
        <v>705</v>
      </c>
      <c r="G5" s="17" t="s">
        <v>706</v>
      </c>
      <c r="H5" s="17" t="s">
        <v>707</v>
      </c>
      <c r="I5" s="17" t="s">
        <v>439</v>
      </c>
    </row>
    <row r="6" customFormat="false" ht="15" hidden="false" customHeight="true" outlineLevel="0" collapsed="false">
      <c r="A6" s="28" t="s">
        <v>32</v>
      </c>
      <c r="B6" s="28" t="n">
        <v>1</v>
      </c>
      <c r="C6" s="28" t="s">
        <v>654</v>
      </c>
      <c r="D6" s="28" t="s">
        <v>708</v>
      </c>
      <c r="E6" s="28" t="s">
        <v>708</v>
      </c>
      <c r="F6" s="8" t="s">
        <v>709</v>
      </c>
      <c r="G6" s="30" t="s">
        <v>710</v>
      </c>
      <c r="H6" s="8" t="s">
        <v>711</v>
      </c>
      <c r="I6" s="28" t="s">
        <v>712</v>
      </c>
    </row>
    <row r="7" customFormat="false" ht="15" hidden="false" customHeight="true" outlineLevel="0" collapsed="false">
      <c r="A7" s="28" t="s">
        <v>32</v>
      </c>
      <c r="B7" s="28" t="n">
        <v>2</v>
      </c>
      <c r="C7" s="28" t="s">
        <v>655</v>
      </c>
      <c r="D7" s="28" t="s">
        <v>708</v>
      </c>
      <c r="E7" s="28" t="s">
        <v>708</v>
      </c>
      <c r="F7" s="8" t="s">
        <v>709</v>
      </c>
      <c r="G7" s="30" t="s">
        <v>710</v>
      </c>
      <c r="H7" s="8" t="s">
        <v>711</v>
      </c>
      <c r="I7" s="28" t="s">
        <v>712</v>
      </c>
    </row>
    <row r="8" customFormat="false" ht="15" hidden="false" customHeight="true" outlineLevel="0" collapsed="false">
      <c r="A8" s="28" t="s">
        <v>32</v>
      </c>
      <c r="B8" s="28" t="n">
        <v>3</v>
      </c>
      <c r="C8" s="28" t="s">
        <v>656</v>
      </c>
      <c r="D8" s="28" t="s">
        <v>708</v>
      </c>
      <c r="E8" s="28" t="s">
        <v>708</v>
      </c>
      <c r="F8" s="8" t="s">
        <v>709</v>
      </c>
      <c r="G8" s="30" t="s">
        <v>710</v>
      </c>
      <c r="H8" s="8" t="s">
        <v>711</v>
      </c>
      <c r="I8" s="28" t="s">
        <v>712</v>
      </c>
    </row>
    <row r="9" customFormat="false" ht="15" hidden="false" customHeight="true" outlineLevel="0" collapsed="false">
      <c r="A9" s="28" t="s">
        <v>45</v>
      </c>
      <c r="B9" s="28" t="n">
        <v>1</v>
      </c>
      <c r="C9" s="28" t="s">
        <v>657</v>
      </c>
      <c r="D9" s="28" t="s">
        <v>713</v>
      </c>
      <c r="E9" s="28" t="s">
        <v>714</v>
      </c>
      <c r="F9" s="8" t="s">
        <v>715</v>
      </c>
      <c r="G9" s="30" t="s">
        <v>649</v>
      </c>
      <c r="H9" s="8" t="s">
        <v>716</v>
      </c>
      <c r="I9" s="28" t="s">
        <v>712</v>
      </c>
    </row>
    <row r="10" customFormat="false" ht="15" hidden="false" customHeight="true" outlineLevel="0" collapsed="false">
      <c r="A10" s="28" t="s">
        <v>45</v>
      </c>
      <c r="B10" s="28" t="n">
        <v>2</v>
      </c>
      <c r="C10" s="28" t="s">
        <v>658</v>
      </c>
      <c r="D10" s="28" t="s">
        <v>713</v>
      </c>
      <c r="E10" s="28" t="s">
        <v>714</v>
      </c>
      <c r="F10" s="8" t="s">
        <v>717</v>
      </c>
      <c r="G10" s="30" t="s">
        <v>649</v>
      </c>
      <c r="H10" s="8" t="s">
        <v>716</v>
      </c>
      <c r="I10" s="28" t="s">
        <v>712</v>
      </c>
    </row>
    <row r="11" customFormat="false" ht="15" hidden="false" customHeight="true" outlineLevel="0" collapsed="false">
      <c r="A11" s="28" t="s">
        <v>45</v>
      </c>
      <c r="B11" s="28" t="n">
        <v>3</v>
      </c>
      <c r="C11" s="28" t="s">
        <v>659</v>
      </c>
      <c r="D11" s="28" t="s">
        <v>713</v>
      </c>
      <c r="E11" s="28" t="s">
        <v>714</v>
      </c>
      <c r="F11" s="8" t="s">
        <v>718</v>
      </c>
      <c r="G11" s="30" t="s">
        <v>649</v>
      </c>
      <c r="H11" s="8" t="s">
        <v>716</v>
      </c>
      <c r="I11" s="28" t="s">
        <v>712</v>
      </c>
    </row>
    <row r="12" customFormat="false" ht="15" hidden="false" customHeight="true" outlineLevel="0" collapsed="false">
      <c r="A12" s="28" t="s">
        <v>58</v>
      </c>
      <c r="B12" s="28" t="n">
        <v>1</v>
      </c>
      <c r="C12" s="28" t="s">
        <v>660</v>
      </c>
      <c r="D12" s="28" t="s">
        <v>713</v>
      </c>
      <c r="E12" s="28" t="s">
        <v>714</v>
      </c>
      <c r="F12" s="8" t="s">
        <v>719</v>
      </c>
      <c r="G12" s="30" t="s">
        <v>649</v>
      </c>
      <c r="H12" s="8" t="s">
        <v>716</v>
      </c>
      <c r="I12" s="28" t="s">
        <v>712</v>
      </c>
    </row>
    <row r="13" customFormat="false" ht="15" hidden="false" customHeight="true" outlineLevel="0" collapsed="false">
      <c r="A13" s="28" t="s">
        <v>58</v>
      </c>
      <c r="B13" s="28" t="n">
        <v>2</v>
      </c>
      <c r="C13" s="28" t="s">
        <v>661</v>
      </c>
      <c r="D13" s="28" t="s">
        <v>713</v>
      </c>
      <c r="E13" s="28" t="s">
        <v>714</v>
      </c>
      <c r="F13" s="8" t="s">
        <v>720</v>
      </c>
      <c r="G13" s="30" t="s">
        <v>649</v>
      </c>
      <c r="H13" s="8" t="s">
        <v>716</v>
      </c>
      <c r="I13" s="28" t="s">
        <v>712</v>
      </c>
    </row>
    <row r="14" customFormat="false" ht="15" hidden="false" customHeight="true" outlineLevel="0" collapsed="false">
      <c r="A14" s="28" t="s">
        <v>58</v>
      </c>
      <c r="B14" s="28" t="n">
        <v>3</v>
      </c>
      <c r="C14" s="28" t="s">
        <v>662</v>
      </c>
      <c r="D14" s="28" t="s">
        <v>713</v>
      </c>
      <c r="E14" s="28" t="s">
        <v>714</v>
      </c>
      <c r="F14" s="8" t="s">
        <v>721</v>
      </c>
      <c r="G14" s="30" t="s">
        <v>649</v>
      </c>
      <c r="H14" s="8" t="s">
        <v>716</v>
      </c>
      <c r="I14" s="28" t="s">
        <v>712</v>
      </c>
    </row>
    <row r="15" customFormat="false" ht="26.25" hidden="false" customHeight="true" outlineLevel="0" collapsed="false">
      <c r="A15" s="28" t="s">
        <v>58</v>
      </c>
      <c r="B15" s="28" t="n">
        <v>3</v>
      </c>
      <c r="C15" s="28" t="s">
        <v>662</v>
      </c>
      <c r="D15" s="28" t="s">
        <v>722</v>
      </c>
      <c r="E15" s="28" t="s">
        <v>714</v>
      </c>
      <c r="F15" s="8" t="s">
        <v>723</v>
      </c>
      <c r="G15" s="30" t="s">
        <v>651</v>
      </c>
      <c r="H15" s="8" t="s">
        <v>724</v>
      </c>
      <c r="I15" s="28" t="s">
        <v>712</v>
      </c>
    </row>
    <row r="16" customFormat="false" ht="26.25" hidden="false" customHeight="true" outlineLevel="0" collapsed="false">
      <c r="A16" s="28" t="s">
        <v>68</v>
      </c>
      <c r="B16" s="28" t="n">
        <v>1</v>
      </c>
      <c r="C16" s="28" t="s">
        <v>663</v>
      </c>
      <c r="D16" s="28" t="s">
        <v>713</v>
      </c>
      <c r="E16" s="28" t="s">
        <v>714</v>
      </c>
      <c r="F16" s="8" t="s">
        <v>725</v>
      </c>
      <c r="G16" s="30" t="s">
        <v>649</v>
      </c>
      <c r="H16" s="8" t="s">
        <v>716</v>
      </c>
      <c r="I16" s="28" t="s">
        <v>712</v>
      </c>
    </row>
    <row r="17" customFormat="false" ht="15" hidden="false" customHeight="true" outlineLevel="0" collapsed="false">
      <c r="A17" s="28" t="s">
        <v>68</v>
      </c>
      <c r="B17" s="28" t="n">
        <v>2</v>
      </c>
      <c r="C17" s="28" t="s">
        <v>664</v>
      </c>
      <c r="D17" s="28" t="s">
        <v>713</v>
      </c>
      <c r="E17" s="28" t="s">
        <v>714</v>
      </c>
      <c r="F17" s="8" t="s">
        <v>726</v>
      </c>
      <c r="G17" s="30" t="s">
        <v>649</v>
      </c>
      <c r="H17" s="8" t="s">
        <v>716</v>
      </c>
      <c r="I17" s="28" t="s">
        <v>712</v>
      </c>
    </row>
    <row r="18" customFormat="false" ht="26.25" hidden="false" customHeight="true" outlineLevel="0" collapsed="false">
      <c r="A18" s="28" t="s">
        <v>68</v>
      </c>
      <c r="B18" s="28" t="n">
        <v>3</v>
      </c>
      <c r="C18" s="28" t="s">
        <v>665</v>
      </c>
      <c r="D18" s="28" t="s">
        <v>713</v>
      </c>
      <c r="E18" s="28" t="s">
        <v>714</v>
      </c>
      <c r="F18" s="8" t="s">
        <v>727</v>
      </c>
      <c r="G18" s="30" t="s">
        <v>649</v>
      </c>
      <c r="H18" s="8" t="s">
        <v>716</v>
      </c>
      <c r="I18" s="28" t="s">
        <v>712</v>
      </c>
    </row>
    <row r="19" customFormat="false" ht="15" hidden="false" customHeight="true" outlineLevel="0" collapsed="false">
      <c r="A19" s="28" t="s">
        <v>78</v>
      </c>
      <c r="B19" s="28" t="n">
        <v>1</v>
      </c>
      <c r="C19" s="28" t="s">
        <v>666</v>
      </c>
      <c r="D19" s="28" t="s">
        <v>713</v>
      </c>
      <c r="E19" s="28" t="s">
        <v>714</v>
      </c>
      <c r="F19" s="8" t="s">
        <v>728</v>
      </c>
      <c r="G19" s="30" t="s">
        <v>649</v>
      </c>
      <c r="H19" s="8" t="s">
        <v>716</v>
      </c>
      <c r="I19" s="28" t="s">
        <v>712</v>
      </c>
    </row>
    <row r="20" customFormat="false" ht="15" hidden="false" customHeight="true" outlineLevel="0" collapsed="false">
      <c r="A20" s="28" t="s">
        <v>78</v>
      </c>
      <c r="B20" s="28" t="n">
        <v>2</v>
      </c>
      <c r="C20" s="28" t="s">
        <v>667</v>
      </c>
      <c r="D20" s="28" t="s">
        <v>713</v>
      </c>
      <c r="E20" s="28" t="s">
        <v>714</v>
      </c>
      <c r="F20" s="8" t="s">
        <v>729</v>
      </c>
      <c r="G20" s="30" t="s">
        <v>649</v>
      </c>
      <c r="H20" s="8" t="s">
        <v>716</v>
      </c>
      <c r="I20" s="28" t="s">
        <v>712</v>
      </c>
    </row>
    <row r="21" customFormat="false" ht="15" hidden="false" customHeight="true" outlineLevel="0" collapsed="false">
      <c r="A21" s="28" t="s">
        <v>78</v>
      </c>
      <c r="B21" s="28" t="n">
        <v>3</v>
      </c>
      <c r="C21" s="28" t="s">
        <v>668</v>
      </c>
      <c r="D21" s="28" t="s">
        <v>713</v>
      </c>
      <c r="E21" s="28" t="s">
        <v>730</v>
      </c>
      <c r="F21" s="8" t="s">
        <v>728</v>
      </c>
      <c r="G21" s="30" t="s">
        <v>649</v>
      </c>
      <c r="H21" s="8" t="s">
        <v>716</v>
      </c>
      <c r="I21" s="28" t="s">
        <v>712</v>
      </c>
    </row>
    <row r="22" customFormat="false" ht="15" hidden="false" customHeight="true" outlineLevel="0" collapsed="false">
      <c r="A22" s="28" t="s">
        <v>87</v>
      </c>
      <c r="B22" s="28" t="n">
        <v>1</v>
      </c>
      <c r="C22" s="28" t="s">
        <v>669</v>
      </c>
      <c r="D22" s="28" t="s">
        <v>713</v>
      </c>
      <c r="E22" s="28" t="s">
        <v>730</v>
      </c>
      <c r="F22" s="8" t="s">
        <v>731</v>
      </c>
      <c r="G22" s="30" t="s">
        <v>649</v>
      </c>
      <c r="H22" s="8" t="s">
        <v>716</v>
      </c>
      <c r="I22" s="28" t="s">
        <v>712</v>
      </c>
    </row>
    <row r="23" customFormat="false" ht="15" hidden="false" customHeight="true" outlineLevel="0" collapsed="false">
      <c r="A23" s="28" t="s">
        <v>87</v>
      </c>
      <c r="B23" s="28" t="n">
        <v>2</v>
      </c>
      <c r="C23" s="28" t="s">
        <v>670</v>
      </c>
      <c r="D23" s="28" t="s">
        <v>713</v>
      </c>
      <c r="E23" s="28" t="s">
        <v>730</v>
      </c>
      <c r="F23" s="8" t="s">
        <v>732</v>
      </c>
      <c r="G23" s="30" t="s">
        <v>649</v>
      </c>
      <c r="H23" s="8" t="s">
        <v>716</v>
      </c>
      <c r="I23" s="28" t="s">
        <v>712</v>
      </c>
    </row>
    <row r="24" customFormat="false" ht="15" hidden="false" customHeight="true" outlineLevel="0" collapsed="false">
      <c r="A24" s="28" t="s">
        <v>87</v>
      </c>
      <c r="B24" s="28" t="n">
        <v>3</v>
      </c>
      <c r="C24" s="28" t="s">
        <v>671</v>
      </c>
      <c r="D24" s="28" t="s">
        <v>713</v>
      </c>
      <c r="E24" s="28" t="s">
        <v>730</v>
      </c>
      <c r="F24" s="8" t="s">
        <v>733</v>
      </c>
      <c r="G24" s="30" t="s">
        <v>649</v>
      </c>
      <c r="H24" s="8" t="s">
        <v>716</v>
      </c>
      <c r="I24" s="28" t="s">
        <v>712</v>
      </c>
    </row>
    <row r="25" customFormat="false" ht="15" hidden="false" customHeight="true" outlineLevel="0" collapsed="false">
      <c r="A25" s="28" t="s">
        <v>96</v>
      </c>
      <c r="B25" s="28" t="n">
        <v>1</v>
      </c>
      <c r="C25" s="28" t="s">
        <v>672</v>
      </c>
      <c r="D25" s="28" t="s">
        <v>713</v>
      </c>
      <c r="E25" s="28" t="s">
        <v>714</v>
      </c>
      <c r="F25" s="8" t="s">
        <v>734</v>
      </c>
      <c r="G25" s="30" t="s">
        <v>649</v>
      </c>
      <c r="H25" s="8" t="s">
        <v>716</v>
      </c>
      <c r="I25" s="28" t="s">
        <v>712</v>
      </c>
    </row>
    <row r="26" customFormat="false" ht="26.25" hidden="false" customHeight="true" outlineLevel="0" collapsed="false">
      <c r="A26" s="28" t="s">
        <v>96</v>
      </c>
      <c r="B26" s="28" t="n">
        <v>1</v>
      </c>
      <c r="C26" s="28" t="s">
        <v>672</v>
      </c>
      <c r="D26" s="28" t="s">
        <v>722</v>
      </c>
      <c r="E26" s="28" t="s">
        <v>735</v>
      </c>
      <c r="F26" s="8" t="s">
        <v>736</v>
      </c>
      <c r="G26" s="30" t="s">
        <v>650</v>
      </c>
      <c r="H26" s="8" t="s">
        <v>737</v>
      </c>
      <c r="I26" s="28" t="s">
        <v>712</v>
      </c>
    </row>
    <row r="27" customFormat="false" ht="15" hidden="false" customHeight="true" outlineLevel="0" collapsed="false">
      <c r="A27" s="28" t="s">
        <v>96</v>
      </c>
      <c r="B27" s="28" t="n">
        <v>2</v>
      </c>
      <c r="C27" s="28" t="s">
        <v>673</v>
      </c>
      <c r="D27" s="28" t="s">
        <v>713</v>
      </c>
      <c r="E27" s="28" t="s">
        <v>714</v>
      </c>
      <c r="F27" s="8" t="s">
        <v>738</v>
      </c>
      <c r="G27" s="30" t="s">
        <v>649</v>
      </c>
      <c r="H27" s="8" t="s">
        <v>716</v>
      </c>
      <c r="I27" s="28" t="s">
        <v>712</v>
      </c>
    </row>
    <row r="28" customFormat="false" ht="15" hidden="false" customHeight="true" outlineLevel="0" collapsed="false">
      <c r="A28" s="28" t="s">
        <v>96</v>
      </c>
      <c r="B28" s="28" t="n">
        <v>2</v>
      </c>
      <c r="C28" s="28" t="s">
        <v>673</v>
      </c>
      <c r="D28" s="28" t="s">
        <v>722</v>
      </c>
      <c r="E28" s="28" t="s">
        <v>735</v>
      </c>
      <c r="F28" s="8" t="s">
        <v>739</v>
      </c>
      <c r="G28" s="30" t="s">
        <v>650</v>
      </c>
      <c r="H28" s="8" t="s">
        <v>740</v>
      </c>
      <c r="I28" s="28" t="s">
        <v>712</v>
      </c>
    </row>
    <row r="29" customFormat="false" ht="15" hidden="false" customHeight="true" outlineLevel="0" collapsed="false">
      <c r="A29" s="28" t="s">
        <v>96</v>
      </c>
      <c r="B29" s="28" t="n">
        <v>3</v>
      </c>
      <c r="C29" s="28" t="s">
        <v>674</v>
      </c>
      <c r="D29" s="28" t="s">
        <v>713</v>
      </c>
      <c r="E29" s="28" t="s">
        <v>714</v>
      </c>
      <c r="F29" s="8" t="s">
        <v>741</v>
      </c>
      <c r="G29" s="30" t="s">
        <v>649</v>
      </c>
      <c r="H29" s="8" t="s">
        <v>716</v>
      </c>
      <c r="I29" s="28" t="s">
        <v>712</v>
      </c>
    </row>
    <row r="30" customFormat="false" ht="15" hidden="false" customHeight="true" outlineLevel="0" collapsed="false">
      <c r="A30" s="28" t="s">
        <v>96</v>
      </c>
      <c r="B30" s="28" t="n">
        <v>3</v>
      </c>
      <c r="C30" s="28" t="s">
        <v>674</v>
      </c>
      <c r="D30" s="28" t="s">
        <v>722</v>
      </c>
      <c r="E30" s="28" t="s">
        <v>735</v>
      </c>
      <c r="F30" s="8" t="s">
        <v>739</v>
      </c>
      <c r="G30" s="30" t="s">
        <v>650</v>
      </c>
      <c r="H30" s="8" t="s">
        <v>740</v>
      </c>
      <c r="I30" s="28" t="s">
        <v>712</v>
      </c>
    </row>
    <row r="31" customFormat="false" ht="15" hidden="false" customHeight="true" outlineLevel="0" collapsed="false">
      <c r="A31" s="28" t="s">
        <v>106</v>
      </c>
      <c r="B31" s="28" t="n">
        <v>1</v>
      </c>
      <c r="C31" s="28" t="s">
        <v>675</v>
      </c>
      <c r="D31" s="28" t="s">
        <v>708</v>
      </c>
      <c r="E31" s="28" t="s">
        <v>708</v>
      </c>
      <c r="F31" s="8" t="s">
        <v>742</v>
      </c>
      <c r="G31" s="30" t="s">
        <v>710</v>
      </c>
      <c r="H31" s="8" t="s">
        <v>743</v>
      </c>
      <c r="I31" s="28" t="s">
        <v>744</v>
      </c>
    </row>
    <row r="32" customFormat="false" ht="15" hidden="false" customHeight="true" outlineLevel="0" collapsed="false">
      <c r="A32" s="28" t="s">
        <v>106</v>
      </c>
      <c r="B32" s="28" t="n">
        <v>2</v>
      </c>
      <c r="C32" s="28" t="s">
        <v>676</v>
      </c>
      <c r="D32" s="28" t="s">
        <v>708</v>
      </c>
      <c r="E32" s="28" t="s">
        <v>708</v>
      </c>
      <c r="F32" s="8" t="s">
        <v>709</v>
      </c>
      <c r="G32" s="30" t="s">
        <v>710</v>
      </c>
      <c r="H32" s="8" t="s">
        <v>711</v>
      </c>
      <c r="I32" s="28" t="s">
        <v>712</v>
      </c>
    </row>
    <row r="33" customFormat="false" ht="15" hidden="false" customHeight="true" outlineLevel="0" collapsed="false">
      <c r="A33" s="28" t="s">
        <v>106</v>
      </c>
      <c r="B33" s="28" t="n">
        <v>3</v>
      </c>
      <c r="C33" s="28" t="s">
        <v>677</v>
      </c>
      <c r="D33" s="28" t="s">
        <v>708</v>
      </c>
      <c r="E33" s="28" t="s">
        <v>708</v>
      </c>
      <c r="F33" s="8" t="s">
        <v>709</v>
      </c>
      <c r="G33" s="30" t="s">
        <v>710</v>
      </c>
      <c r="H33" s="8" t="s">
        <v>711</v>
      </c>
      <c r="I33" s="28" t="s">
        <v>712</v>
      </c>
    </row>
    <row r="34" customFormat="false" ht="15" hidden="false" customHeight="true" outlineLevel="0" collapsed="false">
      <c r="A34" s="28" t="s">
        <v>106</v>
      </c>
      <c r="B34" s="28" t="n">
        <v>4</v>
      </c>
      <c r="C34" s="28" t="s">
        <v>678</v>
      </c>
      <c r="D34" s="28" t="s">
        <v>713</v>
      </c>
      <c r="E34" s="28" t="s">
        <v>730</v>
      </c>
      <c r="F34" s="8" t="s">
        <v>745</v>
      </c>
      <c r="G34" s="30" t="s">
        <v>649</v>
      </c>
      <c r="H34" s="8" t="s">
        <v>716</v>
      </c>
      <c r="I34" s="28" t="s">
        <v>712</v>
      </c>
    </row>
    <row r="35" customFormat="false" ht="26.25" hidden="false" customHeight="true" outlineLevel="0" collapsed="false">
      <c r="A35" s="28" t="s">
        <v>115</v>
      </c>
      <c r="B35" s="28" t="n">
        <v>1</v>
      </c>
      <c r="C35" s="28" t="s">
        <v>679</v>
      </c>
      <c r="D35" s="28" t="s">
        <v>713</v>
      </c>
      <c r="E35" s="28" t="s">
        <v>730</v>
      </c>
      <c r="F35" s="8" t="s">
        <v>746</v>
      </c>
      <c r="G35" s="30" t="s">
        <v>649</v>
      </c>
      <c r="H35" s="8" t="s">
        <v>716</v>
      </c>
      <c r="I35" s="28" t="s">
        <v>712</v>
      </c>
    </row>
    <row r="36" customFormat="false" ht="26.25" hidden="false" customHeight="true" outlineLevel="0" collapsed="false">
      <c r="A36" s="28" t="s">
        <v>115</v>
      </c>
      <c r="B36" s="28" t="n">
        <v>2</v>
      </c>
      <c r="C36" s="28" t="s">
        <v>680</v>
      </c>
      <c r="D36" s="28" t="s">
        <v>713</v>
      </c>
      <c r="E36" s="28" t="s">
        <v>730</v>
      </c>
      <c r="F36" s="8" t="s">
        <v>747</v>
      </c>
      <c r="G36" s="30" t="s">
        <v>649</v>
      </c>
      <c r="H36" s="8" t="s">
        <v>716</v>
      </c>
      <c r="I36" s="28" t="s">
        <v>712</v>
      </c>
    </row>
    <row r="37" customFormat="false" ht="15" hidden="false" customHeight="true" outlineLevel="0" collapsed="false">
      <c r="A37" s="28" t="s">
        <v>115</v>
      </c>
      <c r="B37" s="28" t="n">
        <v>3</v>
      </c>
      <c r="C37" s="28" t="s">
        <v>681</v>
      </c>
      <c r="D37" s="28" t="s">
        <v>713</v>
      </c>
      <c r="E37" s="28" t="s">
        <v>730</v>
      </c>
      <c r="F37" s="8" t="s">
        <v>748</v>
      </c>
      <c r="G37" s="30" t="s">
        <v>649</v>
      </c>
      <c r="H37" s="8" t="s">
        <v>716</v>
      </c>
      <c r="I37" s="28" t="s">
        <v>712</v>
      </c>
    </row>
    <row r="38" customFormat="false" ht="26.25" hidden="false" customHeight="true" outlineLevel="0" collapsed="false">
      <c r="A38" s="28" t="s">
        <v>123</v>
      </c>
      <c r="B38" s="28" t="n">
        <v>1</v>
      </c>
      <c r="C38" s="28" t="s">
        <v>682</v>
      </c>
      <c r="D38" s="28" t="s">
        <v>713</v>
      </c>
      <c r="E38" s="28" t="s">
        <v>714</v>
      </c>
      <c r="F38" s="8" t="s">
        <v>749</v>
      </c>
      <c r="G38" s="30" t="s">
        <v>649</v>
      </c>
      <c r="H38" s="8" t="s">
        <v>716</v>
      </c>
      <c r="I38" s="28" t="s">
        <v>712</v>
      </c>
    </row>
    <row r="39" customFormat="false" ht="26.25" hidden="false" customHeight="true" outlineLevel="0" collapsed="false">
      <c r="A39" s="28" t="s">
        <v>123</v>
      </c>
      <c r="B39" s="28" t="n">
        <v>1</v>
      </c>
      <c r="C39" s="28" t="s">
        <v>682</v>
      </c>
      <c r="D39" s="28" t="s">
        <v>722</v>
      </c>
      <c r="E39" s="28" t="s">
        <v>735</v>
      </c>
      <c r="F39" s="8" t="s">
        <v>750</v>
      </c>
      <c r="G39" s="30" t="s">
        <v>549</v>
      </c>
      <c r="H39" s="8" t="s">
        <v>751</v>
      </c>
      <c r="I39" s="28" t="s">
        <v>712</v>
      </c>
    </row>
    <row r="40" customFormat="false" ht="15" hidden="false" customHeight="true" outlineLevel="0" collapsed="false">
      <c r="A40" s="28" t="s">
        <v>123</v>
      </c>
      <c r="B40" s="28" t="n">
        <v>2</v>
      </c>
      <c r="C40" s="28" t="s">
        <v>683</v>
      </c>
      <c r="D40" s="28" t="s">
        <v>713</v>
      </c>
      <c r="E40" s="28" t="s">
        <v>714</v>
      </c>
      <c r="F40" s="8" t="s">
        <v>752</v>
      </c>
      <c r="G40" s="30" t="s">
        <v>649</v>
      </c>
      <c r="H40" s="8" t="s">
        <v>716</v>
      </c>
      <c r="I40" s="28" t="s">
        <v>712</v>
      </c>
    </row>
    <row r="41" customFormat="false" ht="26.25" hidden="false" customHeight="true" outlineLevel="0" collapsed="false">
      <c r="A41" s="28" t="s">
        <v>123</v>
      </c>
      <c r="B41" s="28" t="n">
        <v>3</v>
      </c>
      <c r="C41" s="28" t="s">
        <v>684</v>
      </c>
      <c r="D41" s="28" t="s">
        <v>713</v>
      </c>
      <c r="E41" s="28" t="s">
        <v>714</v>
      </c>
      <c r="F41" s="8" t="s">
        <v>753</v>
      </c>
      <c r="G41" s="30" t="s">
        <v>649</v>
      </c>
      <c r="H41" s="8" t="s">
        <v>716</v>
      </c>
      <c r="I41" s="28" t="s">
        <v>712</v>
      </c>
    </row>
    <row r="42" customFormat="false" ht="15" hidden="false" customHeight="true" outlineLevel="0" collapsed="false">
      <c r="A42" s="28" t="s">
        <v>123</v>
      </c>
      <c r="B42" s="28" t="n">
        <v>3</v>
      </c>
      <c r="C42" s="28" t="s">
        <v>684</v>
      </c>
      <c r="D42" s="28" t="s">
        <v>722</v>
      </c>
      <c r="E42" s="28" t="s">
        <v>735</v>
      </c>
      <c r="F42" s="8" t="s">
        <v>754</v>
      </c>
      <c r="G42" s="30" t="s">
        <v>549</v>
      </c>
      <c r="H42" s="8" t="s">
        <v>740</v>
      </c>
      <c r="I42" s="28" t="s">
        <v>712</v>
      </c>
    </row>
    <row r="43" customFormat="false" ht="26.25" hidden="false" customHeight="true" outlineLevel="0" collapsed="false">
      <c r="A43" s="28" t="s">
        <v>132</v>
      </c>
      <c r="B43" s="28" t="n">
        <v>1</v>
      </c>
      <c r="C43" s="28" t="s">
        <v>685</v>
      </c>
      <c r="D43" s="28" t="s">
        <v>713</v>
      </c>
      <c r="E43" s="28" t="s">
        <v>714</v>
      </c>
      <c r="F43" s="8" t="s">
        <v>755</v>
      </c>
      <c r="G43" s="30" t="s">
        <v>649</v>
      </c>
      <c r="H43" s="8" t="s">
        <v>716</v>
      </c>
      <c r="I43" s="28" t="s">
        <v>712</v>
      </c>
    </row>
    <row r="44" customFormat="false" ht="26.25" hidden="false" customHeight="true" outlineLevel="0" collapsed="false">
      <c r="A44" s="28" t="s">
        <v>132</v>
      </c>
      <c r="B44" s="28" t="n">
        <v>2</v>
      </c>
      <c r="C44" s="28" t="s">
        <v>686</v>
      </c>
      <c r="D44" s="28" t="s">
        <v>713</v>
      </c>
      <c r="E44" s="28" t="s">
        <v>714</v>
      </c>
      <c r="F44" s="8" t="s">
        <v>756</v>
      </c>
      <c r="G44" s="30" t="s">
        <v>649</v>
      </c>
      <c r="H44" s="8" t="s">
        <v>716</v>
      </c>
      <c r="I44" s="28" t="s">
        <v>712</v>
      </c>
    </row>
    <row r="45" customFormat="false" ht="26.25" hidden="false" customHeight="true" outlineLevel="0" collapsed="false">
      <c r="A45" s="28" t="s">
        <v>132</v>
      </c>
      <c r="B45" s="28" t="n">
        <v>3</v>
      </c>
      <c r="C45" s="28" t="s">
        <v>687</v>
      </c>
      <c r="D45" s="28" t="s">
        <v>713</v>
      </c>
      <c r="E45" s="28" t="s">
        <v>714</v>
      </c>
      <c r="F45" s="8" t="s">
        <v>757</v>
      </c>
      <c r="G45" s="30" t="s">
        <v>649</v>
      </c>
      <c r="H45" s="8" t="s">
        <v>716</v>
      </c>
      <c r="I45" s="28" t="s">
        <v>712</v>
      </c>
    </row>
    <row r="46" customFormat="false" ht="26.25" hidden="false" customHeight="true" outlineLevel="0" collapsed="false">
      <c r="A46" s="28" t="s">
        <v>139</v>
      </c>
      <c r="B46" s="28" t="n">
        <v>1</v>
      </c>
      <c r="C46" s="28" t="s">
        <v>688</v>
      </c>
      <c r="D46" s="28" t="s">
        <v>713</v>
      </c>
      <c r="E46" s="28" t="s">
        <v>714</v>
      </c>
      <c r="F46" s="8" t="s">
        <v>758</v>
      </c>
      <c r="G46" s="30" t="s">
        <v>549</v>
      </c>
      <c r="H46" s="8" t="s">
        <v>759</v>
      </c>
      <c r="I46" s="28" t="s">
        <v>712</v>
      </c>
    </row>
    <row r="47" customFormat="false" ht="15" hidden="false" customHeight="true" outlineLevel="0" collapsed="false">
      <c r="A47" s="28" t="s">
        <v>139</v>
      </c>
      <c r="B47" s="28" t="n">
        <v>1</v>
      </c>
      <c r="C47" s="28" t="s">
        <v>688</v>
      </c>
      <c r="D47" s="28" t="s">
        <v>722</v>
      </c>
      <c r="E47" s="28" t="s">
        <v>730</v>
      </c>
      <c r="F47" s="8" t="s">
        <v>760</v>
      </c>
      <c r="G47" s="30" t="s">
        <v>549</v>
      </c>
      <c r="H47" s="8" t="s">
        <v>761</v>
      </c>
      <c r="I47" s="28" t="s">
        <v>712</v>
      </c>
    </row>
    <row r="48" customFormat="false" ht="26.25" hidden="false" customHeight="true" outlineLevel="0" collapsed="false">
      <c r="A48" s="28" t="s">
        <v>139</v>
      </c>
      <c r="B48" s="28" t="n">
        <v>1</v>
      </c>
      <c r="C48" s="28" t="s">
        <v>688</v>
      </c>
      <c r="D48" s="28" t="s">
        <v>762</v>
      </c>
      <c r="E48" s="28" t="s">
        <v>735</v>
      </c>
      <c r="F48" s="8" t="s">
        <v>763</v>
      </c>
      <c r="G48" s="30" t="s">
        <v>549</v>
      </c>
      <c r="H48" s="8" t="s">
        <v>764</v>
      </c>
      <c r="I48" s="28" t="s">
        <v>712</v>
      </c>
    </row>
    <row r="49" customFormat="false" ht="15" hidden="false" customHeight="true" outlineLevel="0" collapsed="false">
      <c r="A49" s="28" t="s">
        <v>139</v>
      </c>
      <c r="B49" s="28" t="n">
        <v>2</v>
      </c>
      <c r="C49" s="28" t="s">
        <v>689</v>
      </c>
      <c r="D49" s="28" t="s">
        <v>713</v>
      </c>
      <c r="E49" s="28" t="s">
        <v>735</v>
      </c>
      <c r="F49" s="8" t="s">
        <v>765</v>
      </c>
      <c r="G49" s="30" t="s">
        <v>549</v>
      </c>
      <c r="H49" s="8" t="s">
        <v>766</v>
      </c>
      <c r="I49" s="28" t="s">
        <v>712</v>
      </c>
    </row>
    <row r="50" customFormat="false" ht="15" hidden="false" customHeight="true" outlineLevel="0" collapsed="false">
      <c r="A50" s="28" t="s">
        <v>139</v>
      </c>
      <c r="B50" s="28" t="n">
        <v>3</v>
      </c>
      <c r="C50" s="28" t="s">
        <v>690</v>
      </c>
      <c r="D50" s="28" t="s">
        <v>708</v>
      </c>
      <c r="E50" s="28" t="s">
        <v>708</v>
      </c>
      <c r="F50" s="8" t="s">
        <v>709</v>
      </c>
      <c r="G50" s="30" t="s">
        <v>710</v>
      </c>
      <c r="H50" s="8" t="s">
        <v>711</v>
      </c>
      <c r="I50" s="28" t="s">
        <v>712</v>
      </c>
    </row>
    <row r="51" customFormat="false" ht="26.25" hidden="false" customHeight="true" outlineLevel="0" collapsed="false">
      <c r="A51" s="28" t="s">
        <v>194</v>
      </c>
      <c r="B51" s="28" t="n">
        <v>1</v>
      </c>
      <c r="C51" s="28" t="s">
        <v>691</v>
      </c>
      <c r="D51" s="28" t="s">
        <v>713</v>
      </c>
      <c r="E51" s="28" t="s">
        <v>714</v>
      </c>
      <c r="F51" s="8" t="s">
        <v>767</v>
      </c>
      <c r="G51" s="30" t="s">
        <v>649</v>
      </c>
      <c r="H51" s="8" t="s">
        <v>716</v>
      </c>
      <c r="I51" s="28" t="s">
        <v>712</v>
      </c>
    </row>
    <row r="52" customFormat="false" ht="26.25" hidden="false" customHeight="true" outlineLevel="0" collapsed="false">
      <c r="A52" s="28" t="s">
        <v>194</v>
      </c>
      <c r="B52" s="28" t="n">
        <v>2</v>
      </c>
      <c r="C52" s="28" t="s">
        <v>692</v>
      </c>
      <c r="D52" s="28" t="s">
        <v>713</v>
      </c>
      <c r="E52" s="28" t="s">
        <v>714</v>
      </c>
      <c r="F52" s="8" t="s">
        <v>768</v>
      </c>
      <c r="G52" s="30" t="s">
        <v>649</v>
      </c>
      <c r="H52" s="8" t="s">
        <v>716</v>
      </c>
      <c r="I52" s="28" t="s">
        <v>712</v>
      </c>
    </row>
    <row r="53" customFormat="false" ht="26.25" hidden="false" customHeight="true" outlineLevel="0" collapsed="false">
      <c r="A53" s="28" t="s">
        <v>194</v>
      </c>
      <c r="B53" s="28" t="n">
        <v>3</v>
      </c>
      <c r="C53" s="28" t="s">
        <v>693</v>
      </c>
      <c r="D53" s="28" t="s">
        <v>713</v>
      </c>
      <c r="E53" s="28" t="s">
        <v>714</v>
      </c>
      <c r="F53" s="8" t="s">
        <v>769</v>
      </c>
      <c r="G53" s="30" t="s">
        <v>649</v>
      </c>
      <c r="H53" s="8" t="s">
        <v>716</v>
      </c>
      <c r="I53" s="28" t="s">
        <v>712</v>
      </c>
    </row>
    <row r="54" customFormat="false" ht="26.25" hidden="false" customHeight="true" outlineLevel="0" collapsed="false">
      <c r="A54" s="28" t="s">
        <v>196</v>
      </c>
      <c r="B54" s="28" t="n">
        <v>1</v>
      </c>
      <c r="C54" s="28" t="s">
        <v>694</v>
      </c>
      <c r="D54" s="28" t="s">
        <v>713</v>
      </c>
      <c r="E54" s="28" t="s">
        <v>735</v>
      </c>
      <c r="F54" s="8" t="s">
        <v>770</v>
      </c>
      <c r="G54" s="30" t="s">
        <v>549</v>
      </c>
      <c r="H54" s="8" t="s">
        <v>771</v>
      </c>
      <c r="I54" s="28" t="s">
        <v>712</v>
      </c>
    </row>
    <row r="55" customFormat="false" ht="15" hidden="false" customHeight="true" outlineLevel="0" collapsed="false">
      <c r="A55" s="28" t="s">
        <v>196</v>
      </c>
      <c r="B55" s="28" t="n">
        <v>2</v>
      </c>
      <c r="C55" s="28" t="s">
        <v>695</v>
      </c>
      <c r="D55" s="28" t="s">
        <v>708</v>
      </c>
      <c r="E55" s="28" t="s">
        <v>708</v>
      </c>
      <c r="F55" s="8" t="s">
        <v>709</v>
      </c>
      <c r="G55" s="30" t="s">
        <v>710</v>
      </c>
      <c r="H55" s="8" t="s">
        <v>711</v>
      </c>
      <c r="I55" s="28" t="s">
        <v>712</v>
      </c>
    </row>
    <row r="56" customFormat="false" ht="15" hidden="false" customHeight="true" outlineLevel="0" collapsed="false">
      <c r="A56" s="28" t="s">
        <v>196</v>
      </c>
      <c r="B56" s="28" t="n">
        <v>3</v>
      </c>
      <c r="C56" s="28" t="s">
        <v>696</v>
      </c>
      <c r="D56" s="28" t="s">
        <v>708</v>
      </c>
      <c r="E56" s="28" t="s">
        <v>708</v>
      </c>
      <c r="F56" s="8" t="s">
        <v>709</v>
      </c>
      <c r="G56" s="30" t="s">
        <v>710</v>
      </c>
      <c r="H56" s="8" t="s">
        <v>711</v>
      </c>
      <c r="I56" s="28" t="s">
        <v>712</v>
      </c>
    </row>
    <row r="57" customFormat="false" ht="15" hidden="false" customHeight="true" outlineLevel="0" collapsed="false">
      <c r="A57" s="28" t="s">
        <v>198</v>
      </c>
      <c r="B57" s="28" t="n">
        <v>1</v>
      </c>
      <c r="C57" s="28" t="s">
        <v>697</v>
      </c>
      <c r="D57" s="28" t="s">
        <v>713</v>
      </c>
      <c r="E57" s="28" t="s">
        <v>714</v>
      </c>
      <c r="F57" s="8" t="s">
        <v>772</v>
      </c>
      <c r="G57" s="30" t="s">
        <v>649</v>
      </c>
      <c r="H57" s="8" t="s">
        <v>716</v>
      </c>
      <c r="I57" s="28" t="s">
        <v>712</v>
      </c>
    </row>
    <row r="58" customFormat="false" ht="15" hidden="false" customHeight="true" outlineLevel="0" collapsed="false">
      <c r="A58" s="28" t="s">
        <v>198</v>
      </c>
      <c r="B58" s="28" t="n">
        <v>2</v>
      </c>
      <c r="C58" s="28" t="s">
        <v>698</v>
      </c>
      <c r="D58" s="28" t="s">
        <v>713</v>
      </c>
      <c r="E58" s="28" t="s">
        <v>714</v>
      </c>
      <c r="F58" s="8" t="s">
        <v>773</v>
      </c>
      <c r="G58" s="30" t="s">
        <v>649</v>
      </c>
      <c r="H58" s="8" t="s">
        <v>716</v>
      </c>
      <c r="I58" s="28" t="s">
        <v>712</v>
      </c>
    </row>
    <row r="59" customFormat="false" ht="26.25" hidden="false" customHeight="true" outlineLevel="0" collapsed="false">
      <c r="A59" s="28" t="s">
        <v>198</v>
      </c>
      <c r="B59" s="28" t="n">
        <v>3</v>
      </c>
      <c r="C59" s="28" t="s">
        <v>699</v>
      </c>
      <c r="D59" s="28" t="s">
        <v>713</v>
      </c>
      <c r="E59" s="28" t="s">
        <v>714</v>
      </c>
      <c r="F59" s="8" t="s">
        <v>774</v>
      </c>
      <c r="G59" s="30" t="s">
        <v>649</v>
      </c>
      <c r="H59" s="8" t="s">
        <v>716</v>
      </c>
      <c r="I59" s="28" t="s">
        <v>712</v>
      </c>
    </row>
  </sheetData>
  <autoFilter ref="A5:I59"/>
  <mergeCells count="2">
    <mergeCell ref="A2:I2"/>
    <mergeCell ref="A3:I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10"/>
    <col collapsed="false" customWidth="true" hidden="false" outlineLevel="0" max="4" min="4" style="1" width="50"/>
    <col collapsed="false" customWidth="true" hidden="false" outlineLevel="0" max="5" min="5" style="1" width="60"/>
    <col collapsed="false" customWidth="true" hidden="false" outlineLevel="0" max="7" min="6" style="1" width="14"/>
    <col collapsed="false" customWidth="true" hidden="false" outlineLevel="0" max="8" min="8" style="1" width="16"/>
  </cols>
  <sheetData>
    <row r="1" customFormat="false" ht="51.75" hidden="false" customHeight="true" outlineLevel="0" collapsed="false">
      <c r="A1" s="7" t="s">
        <v>17</v>
      </c>
      <c r="B1" s="7" t="s">
        <v>775</v>
      </c>
      <c r="C1" s="7" t="s">
        <v>776</v>
      </c>
      <c r="D1" s="7" t="s">
        <v>777</v>
      </c>
      <c r="E1" s="7" t="s">
        <v>778</v>
      </c>
      <c r="F1" s="7" t="s">
        <v>779</v>
      </c>
      <c r="G1" s="7" t="s">
        <v>780</v>
      </c>
      <c r="H1" s="7" t="s">
        <v>781</v>
      </c>
    </row>
    <row r="2" customFormat="false" ht="26.25" hidden="false" customHeight="true" outlineLevel="0" collapsed="false">
      <c r="A2" s="8" t="s">
        <v>32</v>
      </c>
      <c r="B2" s="8" t="n">
        <v>7</v>
      </c>
      <c r="C2" s="8" t="n">
        <v>0</v>
      </c>
      <c r="D2" s="8" t="s">
        <v>551</v>
      </c>
      <c r="E2" s="8" t="s">
        <v>551</v>
      </c>
      <c r="F2" s="8" t="s">
        <v>782</v>
      </c>
      <c r="G2" s="8" t="s">
        <v>783</v>
      </c>
      <c r="H2" s="8" t="s">
        <v>783</v>
      </c>
    </row>
    <row r="3" customFormat="false" ht="51.75" hidden="false" customHeight="true" outlineLevel="0" collapsed="false">
      <c r="A3" s="8" t="s">
        <v>45</v>
      </c>
      <c r="B3" s="8" t="n">
        <v>7</v>
      </c>
      <c r="C3" s="8" t="n">
        <v>0</v>
      </c>
      <c r="D3" s="8" t="s">
        <v>551</v>
      </c>
      <c r="E3" s="8" t="s">
        <v>784</v>
      </c>
      <c r="F3" s="8" t="s">
        <v>782</v>
      </c>
      <c r="G3" s="8" t="s">
        <v>783</v>
      </c>
      <c r="H3" s="8" t="s">
        <v>783</v>
      </c>
    </row>
    <row r="4" customFormat="false" ht="51.75" hidden="false" customHeight="true" outlineLevel="0" collapsed="false">
      <c r="A4" s="8" t="s">
        <v>58</v>
      </c>
      <c r="B4" s="8" t="n">
        <v>7</v>
      </c>
      <c r="C4" s="8" t="n">
        <v>0</v>
      </c>
      <c r="D4" s="8" t="s">
        <v>551</v>
      </c>
      <c r="E4" s="8" t="s">
        <v>785</v>
      </c>
      <c r="F4" s="8" t="s">
        <v>782</v>
      </c>
      <c r="G4" s="8" t="s">
        <v>783</v>
      </c>
      <c r="H4" s="8" t="s">
        <v>783</v>
      </c>
    </row>
    <row r="5" customFormat="false" ht="26.25" hidden="false" customHeight="true" outlineLevel="0" collapsed="false">
      <c r="A5" s="8" t="s">
        <v>68</v>
      </c>
      <c r="B5" s="8" t="n">
        <v>7</v>
      </c>
      <c r="C5" s="8" t="n">
        <v>0</v>
      </c>
      <c r="D5" s="8" t="s">
        <v>551</v>
      </c>
      <c r="E5" s="8" t="s">
        <v>786</v>
      </c>
      <c r="F5" s="8" t="s">
        <v>782</v>
      </c>
      <c r="G5" s="8" t="s">
        <v>783</v>
      </c>
      <c r="H5" s="8" t="s">
        <v>783</v>
      </c>
    </row>
    <row r="6" customFormat="false" ht="26.25" hidden="false" customHeight="true" outlineLevel="0" collapsed="false">
      <c r="A6" s="8" t="s">
        <v>78</v>
      </c>
      <c r="B6" s="8" t="n">
        <v>6</v>
      </c>
      <c r="C6" s="8" t="n">
        <v>1</v>
      </c>
      <c r="D6" s="8" t="s">
        <v>787</v>
      </c>
      <c r="E6" s="8" t="s">
        <v>551</v>
      </c>
      <c r="F6" s="8" t="s">
        <v>782</v>
      </c>
      <c r="G6" s="8" t="s">
        <v>783</v>
      </c>
      <c r="H6" s="8" t="s">
        <v>783</v>
      </c>
    </row>
    <row r="7" customFormat="false" ht="26.25" hidden="false" customHeight="true" outlineLevel="0" collapsed="false">
      <c r="A7" s="8" t="s">
        <v>87</v>
      </c>
      <c r="B7" s="8" t="n">
        <v>5</v>
      </c>
      <c r="C7" s="8" t="n">
        <v>2</v>
      </c>
      <c r="D7" s="8" t="s">
        <v>788</v>
      </c>
      <c r="E7" s="8" t="s">
        <v>551</v>
      </c>
      <c r="F7" s="8" t="s">
        <v>782</v>
      </c>
      <c r="G7" s="8" t="s">
        <v>783</v>
      </c>
      <c r="H7" s="8" t="s">
        <v>783</v>
      </c>
    </row>
    <row r="8" customFormat="false" ht="77.25" hidden="false" customHeight="true" outlineLevel="0" collapsed="false">
      <c r="A8" s="8" t="s">
        <v>96</v>
      </c>
      <c r="B8" s="8" t="n">
        <v>11</v>
      </c>
      <c r="C8" s="8" t="n">
        <v>11</v>
      </c>
      <c r="D8" s="8" t="s">
        <v>789</v>
      </c>
      <c r="E8" s="8" t="s">
        <v>790</v>
      </c>
      <c r="F8" s="8" t="s">
        <v>782</v>
      </c>
      <c r="G8" s="8" t="s">
        <v>783</v>
      </c>
      <c r="H8" s="8" t="s">
        <v>783</v>
      </c>
    </row>
    <row r="9" customFormat="false" ht="26.25" hidden="false" customHeight="true" outlineLevel="0" collapsed="false">
      <c r="A9" s="8" t="s">
        <v>106</v>
      </c>
      <c r="B9" s="8" t="n">
        <v>7</v>
      </c>
      <c r="C9" s="8" t="n">
        <v>0</v>
      </c>
      <c r="D9" s="8" t="s">
        <v>551</v>
      </c>
      <c r="E9" s="8" t="s">
        <v>551</v>
      </c>
      <c r="F9" s="8" t="s">
        <v>782</v>
      </c>
      <c r="G9" s="8" t="s">
        <v>783</v>
      </c>
      <c r="H9" s="8" t="s">
        <v>783</v>
      </c>
    </row>
    <row r="10" customFormat="false" ht="26.25" hidden="false" customHeight="true" outlineLevel="0" collapsed="false">
      <c r="A10" s="8" t="s">
        <v>115</v>
      </c>
      <c r="B10" s="8" t="n">
        <v>7</v>
      </c>
      <c r="C10" s="8" t="n">
        <v>0</v>
      </c>
      <c r="D10" s="8" t="s">
        <v>551</v>
      </c>
      <c r="E10" s="8" t="s">
        <v>551</v>
      </c>
      <c r="F10" s="8" t="s">
        <v>782</v>
      </c>
      <c r="G10" s="8" t="s">
        <v>783</v>
      </c>
      <c r="H10" s="8" t="s">
        <v>783</v>
      </c>
    </row>
    <row r="11" customFormat="false" ht="26.25" hidden="false" customHeight="true" outlineLevel="0" collapsed="false">
      <c r="A11" s="8" t="s">
        <v>123</v>
      </c>
      <c r="B11" s="8" t="n">
        <v>7</v>
      </c>
      <c r="C11" s="8" t="n">
        <v>1</v>
      </c>
      <c r="D11" s="8" t="s">
        <v>791</v>
      </c>
      <c r="E11" s="8" t="s">
        <v>551</v>
      </c>
      <c r="F11" s="8" t="s">
        <v>782</v>
      </c>
      <c r="G11" s="8" t="s">
        <v>783</v>
      </c>
      <c r="H11" s="8" t="s">
        <v>783</v>
      </c>
    </row>
    <row r="12" customFormat="false" ht="26.25" hidden="false" customHeight="true" outlineLevel="0" collapsed="false">
      <c r="A12" s="8" t="s">
        <v>132</v>
      </c>
      <c r="B12" s="8" t="n">
        <v>7</v>
      </c>
      <c r="C12" s="8" t="n">
        <v>1</v>
      </c>
      <c r="D12" s="8" t="s">
        <v>791</v>
      </c>
      <c r="E12" s="8" t="s">
        <v>551</v>
      </c>
      <c r="F12" s="8" t="s">
        <v>782</v>
      </c>
      <c r="G12" s="8" t="s">
        <v>783</v>
      </c>
      <c r="H12" s="8" t="s">
        <v>783</v>
      </c>
    </row>
    <row r="13" customFormat="false" ht="26.25" hidden="false" customHeight="true" outlineLevel="0" collapsed="false">
      <c r="A13" s="8" t="s">
        <v>139</v>
      </c>
      <c r="B13" s="8" t="n">
        <v>11</v>
      </c>
      <c r="C13" s="8" t="n">
        <v>0</v>
      </c>
      <c r="D13" s="8" t="s">
        <v>551</v>
      </c>
      <c r="E13" s="8" t="s">
        <v>792</v>
      </c>
      <c r="F13" s="8" t="s">
        <v>782</v>
      </c>
      <c r="G13" s="8" t="s">
        <v>783</v>
      </c>
      <c r="H13" s="8" t="s">
        <v>783</v>
      </c>
    </row>
    <row r="15" customFormat="false" ht="15" hidden="false" customHeight="true" outlineLevel="0" collapsed="false">
      <c r="A15" s="23" t="s">
        <v>793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10"/>
    <col collapsed="false" customWidth="true" hidden="false" outlineLevel="0" max="4" min="4" style="1" width="14"/>
    <col collapsed="false" customWidth="true" hidden="false" outlineLevel="0" max="5" min="5" style="1" width="9"/>
    <col collapsed="false" customWidth="true" hidden="false" outlineLevel="0" max="6" min="6" style="1" width="55"/>
    <col collapsed="false" customWidth="true" hidden="false" outlineLevel="0" max="7" min="7" style="1" width="30"/>
    <col collapsed="false" customWidth="true" hidden="false" outlineLevel="0" max="8" min="8" style="1" width="50"/>
  </cols>
  <sheetData>
    <row r="1" customFormat="false" ht="39" hidden="false" customHeight="true" outlineLevel="0" collapsed="false">
      <c r="A1" s="7" t="s">
        <v>17</v>
      </c>
      <c r="B1" s="7" t="s">
        <v>533</v>
      </c>
      <c r="C1" s="7" t="s">
        <v>794</v>
      </c>
      <c r="D1" s="7" t="s">
        <v>534</v>
      </c>
      <c r="E1" s="7" t="s">
        <v>795</v>
      </c>
      <c r="F1" s="7" t="s">
        <v>796</v>
      </c>
      <c r="G1" s="7" t="s">
        <v>797</v>
      </c>
      <c r="H1" s="7" t="s">
        <v>798</v>
      </c>
    </row>
    <row r="2" customFormat="false" ht="39" hidden="false" customHeight="true" outlineLevel="0" collapsed="false">
      <c r="A2" s="8" t="s">
        <v>32</v>
      </c>
      <c r="B2" s="8" t="s">
        <v>799</v>
      </c>
      <c r="C2" s="8" t="s">
        <v>800</v>
      </c>
      <c r="D2" s="8" t="s">
        <v>801</v>
      </c>
      <c r="E2" s="8" t="n">
        <v>1</v>
      </c>
      <c r="F2" s="8" t="s">
        <v>802</v>
      </c>
      <c r="G2" s="8" t="s">
        <v>803</v>
      </c>
      <c r="H2" s="8" t="s">
        <v>804</v>
      </c>
    </row>
    <row r="3" customFormat="false" ht="39" hidden="false" customHeight="true" outlineLevel="0" collapsed="false">
      <c r="A3" s="8" t="s">
        <v>32</v>
      </c>
      <c r="B3" s="8" t="s">
        <v>805</v>
      </c>
      <c r="C3" s="8" t="s">
        <v>806</v>
      </c>
      <c r="D3" s="8" t="s">
        <v>807</v>
      </c>
      <c r="E3" s="8" t="n">
        <v>1</v>
      </c>
      <c r="F3" s="8" t="s">
        <v>808</v>
      </c>
      <c r="G3" s="8" t="s">
        <v>75</v>
      </c>
      <c r="H3" s="8" t="s">
        <v>809</v>
      </c>
    </row>
    <row r="4" customFormat="false" ht="26.25" hidden="false" customHeight="true" outlineLevel="0" collapsed="false">
      <c r="A4" s="8" t="s">
        <v>45</v>
      </c>
      <c r="B4" s="8" t="s">
        <v>810</v>
      </c>
      <c r="C4" s="8" t="s">
        <v>811</v>
      </c>
      <c r="D4" s="8" t="s">
        <v>812</v>
      </c>
      <c r="E4" s="8" t="n">
        <v>1</v>
      </c>
      <c r="F4" s="8" t="s">
        <v>813</v>
      </c>
      <c r="G4" s="8" t="s">
        <v>814</v>
      </c>
      <c r="H4" s="8"/>
    </row>
    <row r="5" customFormat="false" ht="26.25" hidden="false" customHeight="true" outlineLevel="0" collapsed="false">
      <c r="A5" s="8" t="s">
        <v>58</v>
      </c>
      <c r="B5" s="8" t="s">
        <v>815</v>
      </c>
      <c r="C5" s="8" t="s">
        <v>816</v>
      </c>
      <c r="D5" s="8" t="s">
        <v>817</v>
      </c>
      <c r="E5" s="8" t="n">
        <v>1</v>
      </c>
      <c r="F5" s="8" t="s">
        <v>818</v>
      </c>
      <c r="G5" s="8" t="s">
        <v>819</v>
      </c>
      <c r="H5" s="8"/>
    </row>
    <row r="6" customFormat="false" ht="15" hidden="false" customHeight="true" outlineLevel="0" collapsed="false">
      <c r="A6" s="8" t="s">
        <v>68</v>
      </c>
      <c r="B6" s="8" t="s">
        <v>820</v>
      </c>
      <c r="C6" s="8" t="s">
        <v>821</v>
      </c>
      <c r="D6" s="8" t="s">
        <v>822</v>
      </c>
      <c r="E6" s="8" t="n">
        <v>1</v>
      </c>
      <c r="F6" s="8" t="s">
        <v>823</v>
      </c>
      <c r="G6" s="8" t="s">
        <v>824</v>
      </c>
      <c r="H6" s="8" t="s">
        <v>825</v>
      </c>
    </row>
    <row r="7" customFormat="false" ht="15" hidden="false" customHeight="true" outlineLevel="0" collapsed="false">
      <c r="A7" s="8" t="s">
        <v>78</v>
      </c>
      <c r="B7" s="8" t="s">
        <v>826</v>
      </c>
      <c r="C7" s="8" t="s">
        <v>827</v>
      </c>
      <c r="D7" s="8" t="s">
        <v>828</v>
      </c>
      <c r="E7" s="8" t="n">
        <v>1</v>
      </c>
      <c r="F7" s="8" t="s">
        <v>829</v>
      </c>
      <c r="G7" s="8" t="s">
        <v>787</v>
      </c>
      <c r="H7" s="8"/>
    </row>
    <row r="8" customFormat="false" ht="26.25" hidden="false" customHeight="true" outlineLevel="0" collapsed="false">
      <c r="A8" s="8" t="s">
        <v>87</v>
      </c>
      <c r="B8" s="8" t="s">
        <v>830</v>
      </c>
      <c r="C8" s="8" t="s">
        <v>831</v>
      </c>
      <c r="D8" s="8" t="s">
        <v>832</v>
      </c>
      <c r="E8" s="8" t="n">
        <v>1</v>
      </c>
      <c r="F8" s="8" t="s">
        <v>833</v>
      </c>
      <c r="G8" s="8" t="s">
        <v>788</v>
      </c>
      <c r="H8" s="8" t="s">
        <v>834</v>
      </c>
    </row>
    <row r="9" customFormat="false" ht="51.75" hidden="false" customHeight="true" outlineLevel="0" collapsed="false">
      <c r="A9" s="8" t="s">
        <v>96</v>
      </c>
      <c r="B9" s="8" t="s">
        <v>835</v>
      </c>
      <c r="C9" s="8" t="s">
        <v>836</v>
      </c>
      <c r="D9" s="8" t="s">
        <v>837</v>
      </c>
      <c r="E9" s="8" t="n">
        <v>1</v>
      </c>
      <c r="F9" s="8" t="s">
        <v>838</v>
      </c>
      <c r="G9" s="8" t="s">
        <v>839</v>
      </c>
      <c r="H9" s="8" t="s">
        <v>840</v>
      </c>
    </row>
    <row r="10" customFormat="false" ht="15" hidden="false" customHeight="true" outlineLevel="0" collapsed="false">
      <c r="A10" s="8" t="s">
        <v>106</v>
      </c>
      <c r="B10" s="8" t="s">
        <v>841</v>
      </c>
      <c r="C10" s="8" t="s">
        <v>842</v>
      </c>
      <c r="D10" s="8" t="s">
        <v>843</v>
      </c>
      <c r="E10" s="8" t="n">
        <v>1</v>
      </c>
      <c r="F10" s="8" t="s">
        <v>844</v>
      </c>
      <c r="G10" s="8" t="s">
        <v>845</v>
      </c>
      <c r="H10" s="8"/>
    </row>
    <row r="11" customFormat="false" ht="15" hidden="false" customHeight="true" outlineLevel="0" collapsed="false">
      <c r="A11" s="8" t="s">
        <v>115</v>
      </c>
      <c r="B11" s="8" t="s">
        <v>846</v>
      </c>
      <c r="C11" s="8" t="s">
        <v>847</v>
      </c>
      <c r="D11" s="8" t="s">
        <v>848</v>
      </c>
      <c r="E11" s="8" t="n">
        <v>3</v>
      </c>
      <c r="F11" s="8" t="s">
        <v>849</v>
      </c>
      <c r="G11" s="8" t="s">
        <v>845</v>
      </c>
      <c r="H11" s="8" t="s">
        <v>850</v>
      </c>
    </row>
    <row r="12" customFormat="false" ht="26.25" hidden="false" customHeight="true" outlineLevel="0" collapsed="false">
      <c r="A12" s="8" t="s">
        <v>123</v>
      </c>
      <c r="B12" s="8" t="s">
        <v>851</v>
      </c>
      <c r="C12" s="8" t="s">
        <v>852</v>
      </c>
      <c r="D12" s="8" t="s">
        <v>853</v>
      </c>
      <c r="E12" s="8" t="n">
        <v>2</v>
      </c>
      <c r="F12" s="8" t="s">
        <v>854</v>
      </c>
      <c r="G12" s="8" t="s">
        <v>791</v>
      </c>
      <c r="H12" s="8" t="s">
        <v>855</v>
      </c>
    </row>
    <row r="13" customFormat="false" ht="26.25" hidden="false" customHeight="true" outlineLevel="0" collapsed="false">
      <c r="A13" s="8" t="s">
        <v>132</v>
      </c>
      <c r="B13" s="8" t="s">
        <v>856</v>
      </c>
      <c r="C13" s="8" t="s">
        <v>857</v>
      </c>
      <c r="D13" s="8" t="s">
        <v>858</v>
      </c>
      <c r="E13" s="8" t="n">
        <v>2</v>
      </c>
      <c r="F13" s="8" t="s">
        <v>859</v>
      </c>
      <c r="G13" s="8" t="s">
        <v>860</v>
      </c>
      <c r="H13" s="8" t="s">
        <v>861</v>
      </c>
    </row>
    <row r="14" customFormat="false" ht="15" hidden="false" customHeight="true" outlineLevel="0" collapsed="false">
      <c r="A14" s="8" t="s">
        <v>139</v>
      </c>
      <c r="B14" s="8" t="s">
        <v>862</v>
      </c>
      <c r="C14" s="8" t="s">
        <v>863</v>
      </c>
      <c r="D14" s="8" t="s">
        <v>864</v>
      </c>
      <c r="E14" s="8" t="n">
        <v>1</v>
      </c>
      <c r="F14" s="8" t="s">
        <v>865</v>
      </c>
      <c r="G14" s="8" t="s">
        <v>824</v>
      </c>
      <c r="H14" s="8"/>
    </row>
    <row r="16" customFormat="false" ht="15" hidden="false" customHeight="true" outlineLevel="0" collapsed="false">
      <c r="A16" s="23" t="s">
        <v>866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2"/>
    <col collapsed="false" customWidth="true" hidden="false" outlineLevel="0" max="3" min="3" style="1" width="16"/>
    <col collapsed="false" customWidth="true" hidden="false" outlineLevel="0" max="4" min="4" style="1" width="21"/>
    <col collapsed="false" customWidth="true" hidden="false" outlineLevel="0" max="5" min="5" style="1" width="8"/>
    <col collapsed="false" customWidth="true" hidden="false" outlineLevel="0" max="6" min="6" style="1" width="10"/>
    <col collapsed="false" customWidth="true" hidden="false" outlineLevel="0" max="9" min="7" style="1" width="9"/>
    <col collapsed="false" customWidth="true" hidden="false" outlineLevel="0" max="10" min="10" style="1" width="10"/>
    <col collapsed="false" customWidth="true" hidden="false" outlineLevel="0" max="11" min="11" style="1" width="21"/>
    <col collapsed="false" customWidth="true" hidden="false" outlineLevel="0" max="12" min="12" style="1" width="12"/>
  </cols>
  <sheetData>
    <row r="1" customFormat="false" ht="17.25" hidden="false" customHeight="true" outlineLevel="0" collapsed="false">
      <c r="A1" s="13" t="s">
        <v>867</v>
      </c>
    </row>
    <row r="2" customFormat="false" ht="30" hidden="false" customHeight="true" outlineLevel="0" collapsed="false">
      <c r="A2" s="16" t="s">
        <v>868</v>
      </c>
      <c r="B2" s="16"/>
      <c r="C2" s="16"/>
      <c r="D2" s="16"/>
      <c r="E2" s="16"/>
      <c r="F2" s="16"/>
      <c r="G2" s="16"/>
      <c r="H2" s="16"/>
      <c r="I2" s="16"/>
      <c r="J2" s="16"/>
      <c r="K2" s="16"/>
      <c r="L2" s="16"/>
    </row>
    <row r="4" customFormat="false" ht="39" hidden="false" customHeight="true" outlineLevel="0" collapsed="false">
      <c r="A4" s="17" t="s">
        <v>534</v>
      </c>
      <c r="B4" s="17" t="s">
        <v>869</v>
      </c>
      <c r="C4" s="17" t="s">
        <v>535</v>
      </c>
      <c r="D4" s="17" t="s">
        <v>870</v>
      </c>
      <c r="E4" s="17" t="s">
        <v>871</v>
      </c>
      <c r="F4" s="17" t="s">
        <v>872</v>
      </c>
      <c r="G4" s="17" t="s">
        <v>873</v>
      </c>
      <c r="H4" s="17" t="s">
        <v>874</v>
      </c>
      <c r="I4" s="17" t="s">
        <v>875</v>
      </c>
      <c r="J4" s="17" t="s">
        <v>876</v>
      </c>
      <c r="K4" s="17" t="s">
        <v>877</v>
      </c>
      <c r="L4" s="17" t="s">
        <v>878</v>
      </c>
    </row>
    <row r="5" customFormat="false" ht="15" hidden="false" customHeight="true" outlineLevel="0" collapsed="false">
      <c r="A5" s="28" t="s">
        <v>654</v>
      </c>
      <c r="B5" s="28" t="s">
        <v>879</v>
      </c>
      <c r="C5" s="28" t="s">
        <v>545</v>
      </c>
      <c r="D5" s="28" t="s">
        <v>880</v>
      </c>
      <c r="E5" s="28" t="n">
        <v>73</v>
      </c>
      <c r="F5" s="28" t="n">
        <v>19</v>
      </c>
      <c r="G5" s="28" t="n">
        <v>6</v>
      </c>
      <c r="H5" s="28" t="n">
        <v>1</v>
      </c>
      <c r="I5" s="28" t="n">
        <v>29</v>
      </c>
      <c r="J5" s="28" t="s">
        <v>881</v>
      </c>
      <c r="K5" s="28" t="s">
        <v>882</v>
      </c>
      <c r="L5" s="28" t="n">
        <v>77</v>
      </c>
    </row>
    <row r="6" customFormat="false" ht="15" hidden="false" customHeight="true" outlineLevel="0" collapsed="false">
      <c r="A6" s="28" t="s">
        <v>655</v>
      </c>
      <c r="B6" s="28" t="s">
        <v>879</v>
      </c>
      <c r="C6" s="28" t="s">
        <v>554</v>
      </c>
      <c r="D6" s="28" t="s">
        <v>883</v>
      </c>
      <c r="E6" s="28" t="n">
        <v>58</v>
      </c>
      <c r="F6" s="28" t="n">
        <v>17</v>
      </c>
      <c r="G6" s="28" t="n">
        <v>6</v>
      </c>
      <c r="H6" s="28" t="n">
        <v>1</v>
      </c>
      <c r="I6" s="28" t="n">
        <v>18</v>
      </c>
      <c r="J6" s="28" t="s">
        <v>881</v>
      </c>
      <c r="K6" s="28" t="s">
        <v>882</v>
      </c>
      <c r="L6" s="28" t="s">
        <v>884</v>
      </c>
    </row>
    <row r="7" customFormat="false" ht="15" hidden="false" customHeight="true" outlineLevel="0" collapsed="false">
      <c r="A7" s="28" t="s">
        <v>656</v>
      </c>
      <c r="B7" s="28" t="s">
        <v>879</v>
      </c>
      <c r="C7" s="28" t="s">
        <v>554</v>
      </c>
      <c r="D7" s="28" t="s">
        <v>885</v>
      </c>
      <c r="E7" s="28" t="n">
        <v>77</v>
      </c>
      <c r="F7" s="28" t="n">
        <v>20</v>
      </c>
      <c r="G7" s="28" t="n">
        <v>4</v>
      </c>
      <c r="H7" s="28" t="n">
        <v>1</v>
      </c>
      <c r="I7" s="28" t="n">
        <v>35</v>
      </c>
      <c r="J7" s="28" t="s">
        <v>881</v>
      </c>
      <c r="K7" s="28" t="s">
        <v>882</v>
      </c>
      <c r="L7" s="28" t="s">
        <v>884</v>
      </c>
    </row>
    <row r="8" customFormat="false" ht="15" hidden="false" customHeight="true" outlineLevel="0" collapsed="false">
      <c r="A8" s="28" t="s">
        <v>657</v>
      </c>
      <c r="B8" s="28" t="s">
        <v>886</v>
      </c>
      <c r="C8" s="28" t="s">
        <v>545</v>
      </c>
      <c r="D8" s="28" t="s">
        <v>880</v>
      </c>
      <c r="E8" s="28" t="n">
        <v>84</v>
      </c>
      <c r="F8" s="28" t="n">
        <v>24</v>
      </c>
      <c r="G8" s="28" t="n">
        <v>9</v>
      </c>
      <c r="H8" s="28" t="n">
        <v>1</v>
      </c>
      <c r="I8" s="28" t="n">
        <v>30</v>
      </c>
      <c r="J8" s="28" t="s">
        <v>881</v>
      </c>
      <c r="K8" s="28" t="s">
        <v>887</v>
      </c>
      <c r="L8" s="28" t="n">
        <v>88</v>
      </c>
    </row>
    <row r="9" customFormat="false" ht="15" hidden="false" customHeight="true" outlineLevel="0" collapsed="false">
      <c r="A9" s="28" t="s">
        <v>658</v>
      </c>
      <c r="B9" s="28" t="s">
        <v>886</v>
      </c>
      <c r="C9" s="28" t="s">
        <v>554</v>
      </c>
      <c r="D9" s="28" t="s">
        <v>888</v>
      </c>
      <c r="E9" s="28" t="n">
        <v>83</v>
      </c>
      <c r="F9" s="28" t="n">
        <v>23</v>
      </c>
      <c r="G9" s="28" t="n">
        <v>6</v>
      </c>
      <c r="H9" s="28" t="n">
        <v>1</v>
      </c>
      <c r="I9" s="28" t="n">
        <v>35</v>
      </c>
      <c r="J9" s="28" t="s">
        <v>881</v>
      </c>
      <c r="K9" s="28" t="s">
        <v>887</v>
      </c>
      <c r="L9" s="28" t="s">
        <v>884</v>
      </c>
    </row>
    <row r="10" customFormat="false" ht="15" hidden="false" customHeight="true" outlineLevel="0" collapsed="false">
      <c r="A10" s="28" t="s">
        <v>659</v>
      </c>
      <c r="B10" s="28" t="s">
        <v>886</v>
      </c>
      <c r="C10" s="28" t="s">
        <v>554</v>
      </c>
      <c r="D10" s="28" t="s">
        <v>889</v>
      </c>
      <c r="E10" s="28" t="n">
        <v>75</v>
      </c>
      <c r="F10" s="28" t="n">
        <v>20</v>
      </c>
      <c r="G10" s="28" t="n">
        <v>6</v>
      </c>
      <c r="H10" s="28" t="n">
        <v>1</v>
      </c>
      <c r="I10" s="28" t="n">
        <v>31</v>
      </c>
      <c r="J10" s="28" t="s">
        <v>881</v>
      </c>
      <c r="K10" s="28" t="s">
        <v>887</v>
      </c>
      <c r="L10" s="28" t="s">
        <v>884</v>
      </c>
    </row>
    <row r="11" customFormat="false" ht="15" hidden="false" customHeight="true" outlineLevel="0" collapsed="false">
      <c r="A11" s="28" t="s">
        <v>660</v>
      </c>
      <c r="B11" s="28" t="s">
        <v>890</v>
      </c>
      <c r="C11" s="28" t="s">
        <v>545</v>
      </c>
      <c r="D11" s="28" t="s">
        <v>891</v>
      </c>
      <c r="E11" s="28" t="n">
        <v>68</v>
      </c>
      <c r="F11" s="28" t="n">
        <v>15</v>
      </c>
      <c r="G11" s="28" t="n">
        <v>5</v>
      </c>
      <c r="H11" s="28" t="n">
        <v>0</v>
      </c>
      <c r="I11" s="28" t="n">
        <v>33</v>
      </c>
      <c r="J11" s="28" t="s">
        <v>881</v>
      </c>
      <c r="K11" s="28" t="s">
        <v>892</v>
      </c>
      <c r="L11" s="28" t="n">
        <v>71</v>
      </c>
    </row>
    <row r="12" customFormat="false" ht="15" hidden="false" customHeight="true" outlineLevel="0" collapsed="false">
      <c r="A12" s="28" t="s">
        <v>661</v>
      </c>
      <c r="B12" s="28" t="s">
        <v>890</v>
      </c>
      <c r="C12" s="28" t="s">
        <v>554</v>
      </c>
      <c r="D12" s="28" t="s">
        <v>893</v>
      </c>
      <c r="E12" s="28" t="n">
        <v>72</v>
      </c>
      <c r="F12" s="28" t="n">
        <v>19</v>
      </c>
      <c r="G12" s="28" t="n">
        <v>6</v>
      </c>
      <c r="H12" s="28" t="n">
        <v>1</v>
      </c>
      <c r="I12" s="28" t="n">
        <v>31</v>
      </c>
      <c r="J12" s="28" t="s">
        <v>881</v>
      </c>
      <c r="K12" s="28" t="s">
        <v>892</v>
      </c>
      <c r="L12" s="28" t="s">
        <v>884</v>
      </c>
    </row>
    <row r="13" customFormat="false" ht="15" hidden="false" customHeight="true" outlineLevel="0" collapsed="false">
      <c r="A13" s="28" t="s">
        <v>662</v>
      </c>
      <c r="B13" s="28" t="s">
        <v>890</v>
      </c>
      <c r="C13" s="28" t="s">
        <v>554</v>
      </c>
      <c r="D13" s="28" t="s">
        <v>563</v>
      </c>
      <c r="E13" s="28" t="n">
        <v>74</v>
      </c>
      <c r="F13" s="28" t="n">
        <v>16</v>
      </c>
      <c r="G13" s="28" t="n">
        <v>4</v>
      </c>
      <c r="H13" s="28" t="n">
        <v>0</v>
      </c>
      <c r="I13" s="28" t="n">
        <v>39</v>
      </c>
      <c r="J13" s="28" t="s">
        <v>881</v>
      </c>
      <c r="K13" s="28" t="s">
        <v>892</v>
      </c>
      <c r="L13" s="28" t="s">
        <v>884</v>
      </c>
    </row>
    <row r="14" customFormat="false" ht="15" hidden="false" customHeight="true" outlineLevel="0" collapsed="false">
      <c r="A14" s="28" t="s">
        <v>663</v>
      </c>
      <c r="B14" s="28" t="s">
        <v>894</v>
      </c>
      <c r="C14" s="28" t="s">
        <v>545</v>
      </c>
      <c r="D14" s="28" t="s">
        <v>546</v>
      </c>
      <c r="E14" s="28" t="n">
        <v>75</v>
      </c>
      <c r="F14" s="28" t="n">
        <v>18</v>
      </c>
      <c r="G14" s="28" t="n">
        <v>6</v>
      </c>
      <c r="H14" s="28" t="n">
        <v>1</v>
      </c>
      <c r="I14" s="28" t="n">
        <v>33</v>
      </c>
      <c r="J14" s="28" t="s">
        <v>881</v>
      </c>
      <c r="K14" s="28" t="s">
        <v>895</v>
      </c>
      <c r="L14" s="28" t="n">
        <v>79</v>
      </c>
    </row>
    <row r="15" customFormat="false" ht="15" hidden="false" customHeight="true" outlineLevel="0" collapsed="false">
      <c r="A15" s="28" t="s">
        <v>664</v>
      </c>
      <c r="B15" s="28" t="s">
        <v>894</v>
      </c>
      <c r="C15" s="28" t="s">
        <v>554</v>
      </c>
      <c r="D15" s="28" t="s">
        <v>896</v>
      </c>
      <c r="E15" s="28" t="n">
        <v>73</v>
      </c>
      <c r="F15" s="28" t="n">
        <v>18</v>
      </c>
      <c r="G15" s="28" t="n">
        <v>6</v>
      </c>
      <c r="H15" s="28" t="n">
        <v>1</v>
      </c>
      <c r="I15" s="28" t="n">
        <v>31</v>
      </c>
      <c r="J15" s="28" t="s">
        <v>881</v>
      </c>
      <c r="K15" s="28" t="s">
        <v>895</v>
      </c>
      <c r="L15" s="28" t="s">
        <v>884</v>
      </c>
    </row>
    <row r="16" customFormat="false" ht="15" hidden="false" customHeight="true" outlineLevel="0" collapsed="false">
      <c r="A16" s="28" t="s">
        <v>665</v>
      </c>
      <c r="B16" s="28" t="s">
        <v>894</v>
      </c>
      <c r="C16" s="28" t="s">
        <v>554</v>
      </c>
      <c r="D16" s="28" t="s">
        <v>897</v>
      </c>
      <c r="E16" s="28" t="n">
        <v>79</v>
      </c>
      <c r="F16" s="28" t="n">
        <v>21</v>
      </c>
      <c r="G16" s="28" t="n">
        <v>7</v>
      </c>
      <c r="H16" s="28" t="n">
        <v>1</v>
      </c>
      <c r="I16" s="28" t="n">
        <v>33</v>
      </c>
      <c r="J16" s="28" t="s">
        <v>881</v>
      </c>
      <c r="K16" s="28" t="s">
        <v>895</v>
      </c>
      <c r="L16" s="28" t="s">
        <v>884</v>
      </c>
    </row>
    <row r="17" customFormat="false" ht="15" hidden="false" customHeight="true" outlineLevel="0" collapsed="false">
      <c r="A17" s="28" t="s">
        <v>666</v>
      </c>
      <c r="B17" s="28" t="s">
        <v>898</v>
      </c>
      <c r="C17" s="28" t="s">
        <v>545</v>
      </c>
      <c r="D17" s="28" t="s">
        <v>546</v>
      </c>
      <c r="E17" s="28" t="n">
        <v>77</v>
      </c>
      <c r="F17" s="28" t="n">
        <v>18</v>
      </c>
      <c r="G17" s="28" t="n">
        <v>6</v>
      </c>
      <c r="H17" s="28" t="n">
        <v>1</v>
      </c>
      <c r="I17" s="28" t="n">
        <v>34</v>
      </c>
      <c r="J17" s="28" t="s">
        <v>881</v>
      </c>
      <c r="K17" s="28" t="s">
        <v>899</v>
      </c>
      <c r="L17" s="28" t="n">
        <v>80</v>
      </c>
    </row>
    <row r="18" customFormat="false" ht="15" hidden="false" customHeight="true" outlineLevel="0" collapsed="false">
      <c r="A18" s="28" t="s">
        <v>667</v>
      </c>
      <c r="B18" s="28" t="s">
        <v>898</v>
      </c>
      <c r="C18" s="28" t="s">
        <v>554</v>
      </c>
      <c r="D18" s="28" t="s">
        <v>576</v>
      </c>
      <c r="E18" s="28" t="n">
        <v>87</v>
      </c>
      <c r="F18" s="28" t="n">
        <v>23</v>
      </c>
      <c r="G18" s="28" t="n">
        <v>7</v>
      </c>
      <c r="H18" s="28" t="n">
        <v>1</v>
      </c>
      <c r="I18" s="28" t="n">
        <v>39</v>
      </c>
      <c r="J18" s="28" t="s">
        <v>881</v>
      </c>
      <c r="K18" s="28" t="s">
        <v>899</v>
      </c>
      <c r="L18" s="28" t="s">
        <v>884</v>
      </c>
    </row>
    <row r="19" customFormat="false" ht="15" hidden="false" customHeight="true" outlineLevel="0" collapsed="false">
      <c r="A19" s="28" t="s">
        <v>668</v>
      </c>
      <c r="B19" s="28" t="s">
        <v>898</v>
      </c>
      <c r="C19" s="28" t="s">
        <v>554</v>
      </c>
      <c r="D19" s="28" t="s">
        <v>900</v>
      </c>
      <c r="E19" s="28" t="n">
        <v>184</v>
      </c>
      <c r="F19" s="28" t="n">
        <v>25</v>
      </c>
      <c r="G19" s="28" t="n">
        <v>9</v>
      </c>
      <c r="H19" s="28" t="n">
        <v>1</v>
      </c>
      <c r="I19" s="28" t="n">
        <v>131</v>
      </c>
      <c r="J19" s="28" t="s">
        <v>881</v>
      </c>
      <c r="K19" s="28" t="s">
        <v>899</v>
      </c>
      <c r="L19" s="28" t="s">
        <v>884</v>
      </c>
    </row>
    <row r="20" customFormat="false" ht="15" hidden="false" customHeight="true" outlineLevel="0" collapsed="false">
      <c r="A20" s="28" t="s">
        <v>669</v>
      </c>
      <c r="B20" s="28" t="s">
        <v>901</v>
      </c>
      <c r="C20" s="28" t="s">
        <v>545</v>
      </c>
      <c r="D20" s="28" t="s">
        <v>580</v>
      </c>
      <c r="E20" s="28" t="n">
        <v>73</v>
      </c>
      <c r="F20" s="28" t="n">
        <v>19</v>
      </c>
      <c r="G20" s="28" t="n">
        <v>6</v>
      </c>
      <c r="H20" s="28" t="n">
        <v>1</v>
      </c>
      <c r="I20" s="28" t="n">
        <v>30</v>
      </c>
      <c r="J20" s="28" t="s">
        <v>881</v>
      </c>
      <c r="K20" s="28" t="s">
        <v>902</v>
      </c>
      <c r="L20" s="28" t="n">
        <v>75</v>
      </c>
    </row>
    <row r="21" customFormat="false" ht="15" hidden="false" customHeight="true" outlineLevel="0" collapsed="false">
      <c r="A21" s="28" t="s">
        <v>670</v>
      </c>
      <c r="B21" s="28" t="s">
        <v>901</v>
      </c>
      <c r="C21" s="28" t="s">
        <v>554</v>
      </c>
      <c r="D21" s="28" t="s">
        <v>903</v>
      </c>
      <c r="E21" s="28" t="n">
        <v>81</v>
      </c>
      <c r="F21" s="28" t="n">
        <v>23</v>
      </c>
      <c r="G21" s="28" t="n">
        <v>6</v>
      </c>
      <c r="H21" s="28" t="n">
        <v>1</v>
      </c>
      <c r="I21" s="28" t="n">
        <v>32</v>
      </c>
      <c r="J21" s="28" t="s">
        <v>881</v>
      </c>
      <c r="K21" s="28" t="s">
        <v>902</v>
      </c>
      <c r="L21" s="28" t="s">
        <v>884</v>
      </c>
    </row>
    <row r="22" customFormat="false" ht="15" hidden="false" customHeight="true" outlineLevel="0" collapsed="false">
      <c r="A22" s="28" t="s">
        <v>671</v>
      </c>
      <c r="B22" s="28" t="s">
        <v>901</v>
      </c>
      <c r="C22" s="28" t="s">
        <v>554</v>
      </c>
      <c r="D22" s="28" t="s">
        <v>587</v>
      </c>
      <c r="E22" s="28" t="n">
        <v>77</v>
      </c>
      <c r="F22" s="28" t="n">
        <v>21</v>
      </c>
      <c r="G22" s="28" t="n">
        <v>6</v>
      </c>
      <c r="H22" s="28" t="n">
        <v>1</v>
      </c>
      <c r="I22" s="28" t="n">
        <v>32</v>
      </c>
      <c r="J22" s="28" t="s">
        <v>881</v>
      </c>
      <c r="K22" s="28" t="s">
        <v>902</v>
      </c>
      <c r="L22" s="28" t="s">
        <v>884</v>
      </c>
    </row>
    <row r="23" customFormat="false" ht="15" hidden="false" customHeight="true" outlineLevel="0" collapsed="false">
      <c r="A23" s="28" t="s">
        <v>672</v>
      </c>
      <c r="B23" s="28" t="s">
        <v>904</v>
      </c>
      <c r="C23" s="28" t="s">
        <v>545</v>
      </c>
      <c r="D23" s="28" t="s">
        <v>905</v>
      </c>
      <c r="E23" s="28" t="n">
        <v>81</v>
      </c>
      <c r="F23" s="28" t="n">
        <v>21</v>
      </c>
      <c r="G23" s="28" t="n">
        <v>6</v>
      </c>
      <c r="H23" s="28" t="n">
        <v>1</v>
      </c>
      <c r="I23" s="28" t="n">
        <v>37</v>
      </c>
      <c r="J23" s="28" t="s">
        <v>881</v>
      </c>
      <c r="K23" s="28" t="s">
        <v>880</v>
      </c>
      <c r="L23" s="28" t="n">
        <v>85</v>
      </c>
    </row>
    <row r="24" customFormat="false" ht="15" hidden="false" customHeight="true" outlineLevel="0" collapsed="false">
      <c r="A24" s="28" t="s">
        <v>673</v>
      </c>
      <c r="B24" s="28" t="s">
        <v>904</v>
      </c>
      <c r="C24" s="28" t="s">
        <v>554</v>
      </c>
      <c r="D24" s="28" t="s">
        <v>593</v>
      </c>
      <c r="E24" s="28" t="n">
        <v>78</v>
      </c>
      <c r="F24" s="28" t="n">
        <v>19</v>
      </c>
      <c r="G24" s="28" t="n">
        <v>6</v>
      </c>
      <c r="H24" s="28" t="n">
        <v>1</v>
      </c>
      <c r="I24" s="28" t="n">
        <v>37</v>
      </c>
      <c r="J24" s="28" t="s">
        <v>881</v>
      </c>
      <c r="K24" s="28" t="s">
        <v>880</v>
      </c>
      <c r="L24" s="28" t="s">
        <v>884</v>
      </c>
    </row>
    <row r="25" customFormat="false" ht="15" hidden="false" customHeight="true" outlineLevel="0" collapsed="false">
      <c r="A25" s="28" t="s">
        <v>674</v>
      </c>
      <c r="B25" s="28" t="s">
        <v>904</v>
      </c>
      <c r="C25" s="28" t="s">
        <v>554</v>
      </c>
      <c r="D25" s="28" t="s">
        <v>906</v>
      </c>
      <c r="E25" s="28" t="n">
        <v>88</v>
      </c>
      <c r="F25" s="28" t="n">
        <v>22</v>
      </c>
      <c r="G25" s="28" t="n">
        <v>7</v>
      </c>
      <c r="H25" s="28" t="n">
        <v>1</v>
      </c>
      <c r="I25" s="28" t="n">
        <v>41</v>
      </c>
      <c r="J25" s="28" t="s">
        <v>881</v>
      </c>
      <c r="K25" s="28" t="s">
        <v>880</v>
      </c>
      <c r="L25" s="28" t="s">
        <v>884</v>
      </c>
    </row>
    <row r="26" customFormat="false" ht="15" hidden="false" customHeight="true" outlineLevel="0" collapsed="false">
      <c r="A26" s="28" t="s">
        <v>675</v>
      </c>
      <c r="B26" s="28" t="s">
        <v>907</v>
      </c>
      <c r="C26" s="28" t="s">
        <v>545</v>
      </c>
      <c r="D26" s="28" t="s">
        <v>590</v>
      </c>
      <c r="E26" s="28" t="n">
        <v>74</v>
      </c>
      <c r="F26" s="28" t="n">
        <v>19</v>
      </c>
      <c r="G26" s="28" t="n">
        <v>7</v>
      </c>
      <c r="H26" s="28" t="n">
        <v>1</v>
      </c>
      <c r="I26" s="28" t="n">
        <v>30</v>
      </c>
      <c r="J26" s="28" t="s">
        <v>908</v>
      </c>
      <c r="K26" s="28" t="s">
        <v>891</v>
      </c>
      <c r="L26" s="28" t="n">
        <v>77</v>
      </c>
    </row>
    <row r="27" customFormat="false" ht="15" hidden="false" customHeight="true" outlineLevel="0" collapsed="false">
      <c r="A27" s="28" t="s">
        <v>676</v>
      </c>
      <c r="B27" s="28" t="s">
        <v>907</v>
      </c>
      <c r="C27" s="28" t="s">
        <v>554</v>
      </c>
      <c r="D27" s="28" t="s">
        <v>909</v>
      </c>
      <c r="E27" s="28" t="n">
        <v>95</v>
      </c>
      <c r="F27" s="28" t="n">
        <v>23</v>
      </c>
      <c r="G27" s="28" t="n">
        <v>5</v>
      </c>
      <c r="H27" s="28" t="n">
        <v>1</v>
      </c>
      <c r="I27" s="28" t="n">
        <v>48</v>
      </c>
      <c r="J27" s="28" t="s">
        <v>881</v>
      </c>
      <c r="K27" s="28" t="s">
        <v>891</v>
      </c>
      <c r="L27" s="28" t="s">
        <v>884</v>
      </c>
    </row>
    <row r="28" customFormat="false" ht="15" hidden="false" customHeight="true" outlineLevel="0" collapsed="false">
      <c r="A28" s="28" t="s">
        <v>677</v>
      </c>
      <c r="B28" s="28" t="s">
        <v>907</v>
      </c>
      <c r="C28" s="28" t="s">
        <v>554</v>
      </c>
      <c r="D28" s="28" t="s">
        <v>603</v>
      </c>
      <c r="E28" s="28" t="n">
        <v>77</v>
      </c>
      <c r="F28" s="28" t="n">
        <v>21</v>
      </c>
      <c r="G28" s="28" t="n">
        <v>6</v>
      </c>
      <c r="H28" s="28" t="n">
        <v>1</v>
      </c>
      <c r="I28" s="28" t="n">
        <v>35</v>
      </c>
      <c r="J28" s="28" t="s">
        <v>881</v>
      </c>
      <c r="K28" s="28" t="s">
        <v>891</v>
      </c>
      <c r="L28" s="28" t="s">
        <v>884</v>
      </c>
    </row>
    <row r="29" customFormat="false" ht="15" hidden="false" customHeight="true" outlineLevel="0" collapsed="false">
      <c r="A29" s="28" t="s">
        <v>678</v>
      </c>
      <c r="B29" s="28" t="s">
        <v>907</v>
      </c>
      <c r="C29" s="28" t="s">
        <v>554</v>
      </c>
      <c r="D29" s="28" t="s">
        <v>910</v>
      </c>
      <c r="E29" s="28" t="n">
        <v>75</v>
      </c>
      <c r="F29" s="28" t="n">
        <v>21</v>
      </c>
      <c r="G29" s="28" t="n">
        <v>6</v>
      </c>
      <c r="H29" s="28" t="n">
        <v>0</v>
      </c>
      <c r="I29" s="28" t="n">
        <v>30</v>
      </c>
      <c r="J29" s="28" t="s">
        <v>881</v>
      </c>
      <c r="K29" s="28" t="s">
        <v>891</v>
      </c>
      <c r="L29" s="28" t="s">
        <v>884</v>
      </c>
    </row>
    <row r="30" customFormat="false" ht="15" hidden="false" customHeight="true" outlineLevel="0" collapsed="false">
      <c r="A30" s="28" t="s">
        <v>679</v>
      </c>
      <c r="B30" s="28" t="s">
        <v>911</v>
      </c>
      <c r="C30" s="28" t="s">
        <v>545</v>
      </c>
      <c r="D30" s="28" t="s">
        <v>590</v>
      </c>
      <c r="E30" s="28" t="n">
        <v>69</v>
      </c>
      <c r="F30" s="28" t="n">
        <v>19</v>
      </c>
      <c r="G30" s="28" t="n">
        <v>6</v>
      </c>
      <c r="H30" s="28" t="n">
        <v>1</v>
      </c>
      <c r="I30" s="28" t="n">
        <v>28</v>
      </c>
      <c r="J30" s="28" t="s">
        <v>881</v>
      </c>
      <c r="K30" s="28" t="s">
        <v>912</v>
      </c>
      <c r="L30" s="28" t="n">
        <v>73</v>
      </c>
    </row>
    <row r="31" customFormat="false" ht="15" hidden="false" customHeight="true" outlineLevel="0" collapsed="false">
      <c r="A31" s="28" t="s">
        <v>680</v>
      </c>
      <c r="B31" s="28" t="s">
        <v>911</v>
      </c>
      <c r="C31" s="28" t="s">
        <v>554</v>
      </c>
      <c r="D31" s="28" t="s">
        <v>610</v>
      </c>
      <c r="E31" s="28" t="n">
        <v>86</v>
      </c>
      <c r="F31" s="28" t="n">
        <v>25</v>
      </c>
      <c r="G31" s="28" t="n">
        <v>7</v>
      </c>
      <c r="H31" s="28" t="n">
        <v>1</v>
      </c>
      <c r="I31" s="28" t="n">
        <v>31</v>
      </c>
      <c r="J31" s="28" t="s">
        <v>881</v>
      </c>
      <c r="K31" s="28" t="s">
        <v>912</v>
      </c>
      <c r="L31" s="28" t="s">
        <v>884</v>
      </c>
    </row>
    <row r="32" customFormat="false" ht="15" hidden="false" customHeight="true" outlineLevel="0" collapsed="false">
      <c r="A32" s="28" t="s">
        <v>681</v>
      </c>
      <c r="B32" s="28" t="s">
        <v>911</v>
      </c>
      <c r="C32" s="28" t="s">
        <v>554</v>
      </c>
      <c r="D32" s="28" t="s">
        <v>913</v>
      </c>
      <c r="E32" s="28" t="n">
        <v>81</v>
      </c>
      <c r="F32" s="28" t="n">
        <v>24</v>
      </c>
      <c r="G32" s="28" t="n">
        <v>7</v>
      </c>
      <c r="H32" s="28" t="n">
        <v>1</v>
      </c>
      <c r="I32" s="28" t="n">
        <v>30</v>
      </c>
      <c r="J32" s="28" t="s">
        <v>881</v>
      </c>
      <c r="K32" s="28" t="s">
        <v>912</v>
      </c>
      <c r="L32" s="28" t="s">
        <v>884</v>
      </c>
    </row>
    <row r="33" customFormat="false" ht="15" hidden="false" customHeight="true" outlineLevel="0" collapsed="false">
      <c r="A33" s="28" t="s">
        <v>682</v>
      </c>
      <c r="B33" s="28" t="s">
        <v>914</v>
      </c>
      <c r="C33" s="28" t="s">
        <v>545</v>
      </c>
      <c r="D33" s="28" t="s">
        <v>616</v>
      </c>
      <c r="E33" s="28" t="n">
        <v>80</v>
      </c>
      <c r="F33" s="28" t="n">
        <v>17</v>
      </c>
      <c r="G33" s="28" t="n">
        <v>6</v>
      </c>
      <c r="H33" s="28" t="n">
        <v>1</v>
      </c>
      <c r="I33" s="28" t="n">
        <v>37</v>
      </c>
      <c r="J33" s="28" t="s">
        <v>881</v>
      </c>
      <c r="K33" s="28" t="s">
        <v>565</v>
      </c>
      <c r="L33" s="28" t="n">
        <v>82</v>
      </c>
    </row>
    <row r="34" customFormat="false" ht="15" hidden="false" customHeight="true" outlineLevel="0" collapsed="false">
      <c r="A34" s="28" t="s">
        <v>683</v>
      </c>
      <c r="B34" s="28" t="s">
        <v>914</v>
      </c>
      <c r="C34" s="28" t="s">
        <v>554</v>
      </c>
      <c r="D34" s="28" t="s">
        <v>915</v>
      </c>
      <c r="E34" s="28" t="n">
        <v>72</v>
      </c>
      <c r="F34" s="28" t="n">
        <v>17</v>
      </c>
      <c r="G34" s="28" t="n">
        <v>5</v>
      </c>
      <c r="H34" s="28" t="n">
        <v>1</v>
      </c>
      <c r="I34" s="28" t="n">
        <v>30</v>
      </c>
      <c r="J34" s="28" t="s">
        <v>881</v>
      </c>
      <c r="K34" s="28" t="s">
        <v>565</v>
      </c>
      <c r="L34" s="28" t="s">
        <v>884</v>
      </c>
    </row>
    <row r="35" customFormat="false" ht="15" hidden="false" customHeight="true" outlineLevel="0" collapsed="false">
      <c r="A35" s="28" t="s">
        <v>684</v>
      </c>
      <c r="B35" s="28" t="s">
        <v>914</v>
      </c>
      <c r="C35" s="28" t="s">
        <v>554</v>
      </c>
      <c r="D35" s="28" t="s">
        <v>916</v>
      </c>
      <c r="E35" s="28" t="n">
        <v>78</v>
      </c>
      <c r="F35" s="28" t="n">
        <v>19</v>
      </c>
      <c r="G35" s="28" t="n">
        <v>5</v>
      </c>
      <c r="H35" s="28" t="n">
        <v>1</v>
      </c>
      <c r="I35" s="28" t="n">
        <v>35</v>
      </c>
      <c r="J35" s="28" t="s">
        <v>881</v>
      </c>
      <c r="K35" s="28" t="s">
        <v>565</v>
      </c>
      <c r="L35" s="28" t="s">
        <v>884</v>
      </c>
    </row>
    <row r="36" customFormat="false" ht="15" hidden="false" customHeight="true" outlineLevel="0" collapsed="false">
      <c r="A36" s="28" t="s">
        <v>685</v>
      </c>
      <c r="B36" s="28" t="s">
        <v>917</v>
      </c>
      <c r="C36" s="28" t="s">
        <v>545</v>
      </c>
      <c r="D36" s="28" t="s">
        <v>606</v>
      </c>
      <c r="E36" s="28" t="n">
        <v>67</v>
      </c>
      <c r="F36" s="28" t="n">
        <v>19</v>
      </c>
      <c r="G36" s="28" t="n">
        <v>5</v>
      </c>
      <c r="H36" s="28" t="n">
        <v>1</v>
      </c>
      <c r="I36" s="28" t="n">
        <v>28</v>
      </c>
      <c r="J36" s="28" t="s">
        <v>881</v>
      </c>
      <c r="K36" s="28" t="s">
        <v>905</v>
      </c>
      <c r="L36" s="28" t="n">
        <v>71</v>
      </c>
    </row>
    <row r="37" customFormat="false" ht="15" hidden="false" customHeight="true" outlineLevel="0" collapsed="false">
      <c r="A37" s="28" t="s">
        <v>686</v>
      </c>
      <c r="B37" s="28" t="s">
        <v>917</v>
      </c>
      <c r="C37" s="28" t="s">
        <v>554</v>
      </c>
      <c r="D37" s="28" t="s">
        <v>918</v>
      </c>
      <c r="E37" s="28" t="n">
        <v>67</v>
      </c>
      <c r="F37" s="28" t="n">
        <v>19</v>
      </c>
      <c r="G37" s="28" t="n">
        <v>5</v>
      </c>
      <c r="H37" s="28" t="n">
        <v>1</v>
      </c>
      <c r="I37" s="28" t="n">
        <v>27</v>
      </c>
      <c r="J37" s="28" t="s">
        <v>881</v>
      </c>
      <c r="K37" s="28" t="s">
        <v>905</v>
      </c>
      <c r="L37" s="28" t="s">
        <v>884</v>
      </c>
    </row>
    <row r="38" customFormat="false" ht="15" hidden="false" customHeight="true" outlineLevel="0" collapsed="false">
      <c r="A38" s="28" t="s">
        <v>687</v>
      </c>
      <c r="B38" s="28" t="s">
        <v>917</v>
      </c>
      <c r="C38" s="28" t="s">
        <v>554</v>
      </c>
      <c r="D38" s="28" t="s">
        <v>919</v>
      </c>
      <c r="E38" s="28" t="n">
        <v>79</v>
      </c>
      <c r="F38" s="28" t="n">
        <v>25</v>
      </c>
      <c r="G38" s="28" t="n">
        <v>5</v>
      </c>
      <c r="H38" s="28" t="n">
        <v>0</v>
      </c>
      <c r="I38" s="28" t="n">
        <v>29</v>
      </c>
      <c r="J38" s="28" t="s">
        <v>881</v>
      </c>
      <c r="K38" s="28" t="s">
        <v>905</v>
      </c>
      <c r="L38" s="28" t="s">
        <v>884</v>
      </c>
    </row>
    <row r="39" customFormat="false" ht="15" hidden="false" customHeight="true" outlineLevel="0" collapsed="false">
      <c r="A39" s="28" t="s">
        <v>688</v>
      </c>
      <c r="B39" s="28" t="s">
        <v>920</v>
      </c>
      <c r="C39" s="28" t="s">
        <v>545</v>
      </c>
      <c r="D39" s="28" t="s">
        <v>630</v>
      </c>
      <c r="E39" s="28" t="n">
        <v>92</v>
      </c>
      <c r="F39" s="28" t="n">
        <v>19</v>
      </c>
      <c r="G39" s="28" t="n">
        <v>6</v>
      </c>
      <c r="H39" s="28" t="n">
        <v>1</v>
      </c>
      <c r="I39" s="28" t="n">
        <v>47</v>
      </c>
      <c r="J39" s="28" t="s">
        <v>881</v>
      </c>
      <c r="K39" s="28" t="s">
        <v>573</v>
      </c>
      <c r="L39" s="28" t="n">
        <v>95</v>
      </c>
    </row>
    <row r="40" customFormat="false" ht="15" hidden="false" customHeight="true" outlineLevel="0" collapsed="false">
      <c r="A40" s="28" t="s">
        <v>689</v>
      </c>
      <c r="B40" s="28" t="s">
        <v>920</v>
      </c>
      <c r="C40" s="28" t="s">
        <v>554</v>
      </c>
      <c r="D40" s="28" t="s">
        <v>921</v>
      </c>
      <c r="E40" s="28" t="n">
        <v>81</v>
      </c>
      <c r="F40" s="28" t="n">
        <v>21</v>
      </c>
      <c r="G40" s="28" t="n">
        <v>5</v>
      </c>
      <c r="H40" s="28" t="n">
        <v>1</v>
      </c>
      <c r="I40" s="28" t="n">
        <v>35</v>
      </c>
      <c r="J40" s="28" t="s">
        <v>881</v>
      </c>
      <c r="K40" s="28" t="s">
        <v>573</v>
      </c>
      <c r="L40" s="28" t="s">
        <v>884</v>
      </c>
    </row>
    <row r="41" customFormat="false" ht="15" hidden="false" customHeight="true" outlineLevel="0" collapsed="false">
      <c r="A41" s="28" t="s">
        <v>690</v>
      </c>
      <c r="B41" s="28" t="s">
        <v>920</v>
      </c>
      <c r="C41" s="28" t="s">
        <v>554</v>
      </c>
      <c r="D41" s="28" t="s">
        <v>922</v>
      </c>
      <c r="E41" s="28" t="n">
        <v>79</v>
      </c>
      <c r="F41" s="28" t="n">
        <v>16</v>
      </c>
      <c r="G41" s="28" t="n">
        <v>5</v>
      </c>
      <c r="H41" s="28" t="n">
        <v>0</v>
      </c>
      <c r="I41" s="28" t="n">
        <v>40</v>
      </c>
      <c r="J41" s="28" t="s">
        <v>881</v>
      </c>
      <c r="K41" s="28" t="s">
        <v>573</v>
      </c>
      <c r="L41" s="28" t="s">
        <v>884</v>
      </c>
    </row>
    <row r="42" customFormat="false" ht="15" hidden="false" customHeight="true" outlineLevel="0" collapsed="false">
      <c r="A42" s="28" t="s">
        <v>691</v>
      </c>
      <c r="B42" s="28" t="s">
        <v>923</v>
      </c>
      <c r="C42" s="28" t="s">
        <v>545</v>
      </c>
      <c r="D42" s="28" t="s">
        <v>924</v>
      </c>
      <c r="E42" s="28" t="n">
        <v>67</v>
      </c>
      <c r="F42" s="28" t="n">
        <v>14</v>
      </c>
      <c r="G42" s="28" t="n">
        <v>6</v>
      </c>
      <c r="H42" s="28" t="n">
        <v>1</v>
      </c>
      <c r="I42" s="28" t="n">
        <v>29</v>
      </c>
      <c r="J42" s="28" t="s">
        <v>881</v>
      </c>
      <c r="K42" s="28" t="s">
        <v>925</v>
      </c>
      <c r="L42" s="28" t="n">
        <v>71</v>
      </c>
    </row>
    <row r="43" customFormat="false" ht="15" hidden="false" customHeight="true" outlineLevel="0" collapsed="false">
      <c r="A43" s="28" t="s">
        <v>692</v>
      </c>
      <c r="B43" s="28" t="s">
        <v>923</v>
      </c>
      <c r="C43" s="28" t="s">
        <v>554</v>
      </c>
      <c r="D43" s="28" t="s">
        <v>926</v>
      </c>
      <c r="E43" s="28" t="n">
        <v>73</v>
      </c>
      <c r="F43" s="28" t="n">
        <v>22</v>
      </c>
      <c r="G43" s="28" t="n">
        <v>7</v>
      </c>
      <c r="H43" s="28" t="n">
        <v>1</v>
      </c>
      <c r="I43" s="28" t="n">
        <v>23</v>
      </c>
      <c r="J43" s="28" t="s">
        <v>881</v>
      </c>
      <c r="K43" s="28" t="s">
        <v>925</v>
      </c>
      <c r="L43" s="28" t="s">
        <v>884</v>
      </c>
    </row>
    <row r="44" customFormat="false" ht="15" hidden="false" customHeight="true" outlineLevel="0" collapsed="false">
      <c r="A44" s="28" t="s">
        <v>693</v>
      </c>
      <c r="B44" s="28" t="s">
        <v>923</v>
      </c>
      <c r="C44" s="28" t="s">
        <v>554</v>
      </c>
      <c r="D44" s="28" t="s">
        <v>927</v>
      </c>
      <c r="E44" s="28" t="n">
        <v>67</v>
      </c>
      <c r="F44" s="28" t="n">
        <v>22</v>
      </c>
      <c r="G44" s="28" t="n">
        <v>6</v>
      </c>
      <c r="H44" s="28" t="n">
        <v>1</v>
      </c>
      <c r="I44" s="28" t="n">
        <v>22</v>
      </c>
      <c r="J44" s="28" t="s">
        <v>881</v>
      </c>
      <c r="K44" s="28" t="s">
        <v>925</v>
      </c>
      <c r="L44" s="28" t="s">
        <v>884</v>
      </c>
    </row>
    <row r="45" customFormat="false" ht="15" hidden="false" customHeight="true" outlineLevel="0" collapsed="false">
      <c r="A45" s="28" t="s">
        <v>694</v>
      </c>
      <c r="B45" s="28" t="s">
        <v>928</v>
      </c>
      <c r="C45" s="28" t="s">
        <v>545</v>
      </c>
      <c r="D45" s="28" t="s">
        <v>929</v>
      </c>
      <c r="E45" s="28" t="n">
        <v>76</v>
      </c>
      <c r="F45" s="28" t="n">
        <v>19</v>
      </c>
      <c r="G45" s="28" t="n">
        <v>6</v>
      </c>
      <c r="H45" s="28" t="n">
        <v>1</v>
      </c>
      <c r="I45" s="28" t="n">
        <v>36</v>
      </c>
      <c r="J45" s="28" t="s">
        <v>881</v>
      </c>
      <c r="K45" s="28" t="s">
        <v>930</v>
      </c>
      <c r="L45" s="28" t="n">
        <v>83</v>
      </c>
    </row>
    <row r="46" customFormat="false" ht="15" hidden="false" customHeight="true" outlineLevel="0" collapsed="false">
      <c r="A46" s="28" t="s">
        <v>695</v>
      </c>
      <c r="B46" s="28" t="s">
        <v>928</v>
      </c>
      <c r="C46" s="28" t="s">
        <v>554</v>
      </c>
      <c r="D46" s="28" t="s">
        <v>931</v>
      </c>
      <c r="E46" s="28" t="n">
        <v>74</v>
      </c>
      <c r="F46" s="28" t="n">
        <v>18</v>
      </c>
      <c r="G46" s="28" t="n">
        <v>6</v>
      </c>
      <c r="H46" s="28" t="n">
        <v>1</v>
      </c>
      <c r="I46" s="28" t="n">
        <v>31</v>
      </c>
      <c r="J46" s="28" t="s">
        <v>881</v>
      </c>
      <c r="K46" s="28" t="s">
        <v>930</v>
      </c>
      <c r="L46" s="28" t="s">
        <v>884</v>
      </c>
    </row>
    <row r="47" customFormat="false" ht="15" hidden="false" customHeight="true" outlineLevel="0" collapsed="false">
      <c r="A47" s="28" t="s">
        <v>696</v>
      </c>
      <c r="B47" s="28" t="s">
        <v>928</v>
      </c>
      <c r="C47" s="28" t="s">
        <v>554</v>
      </c>
      <c r="D47" s="28" t="s">
        <v>932</v>
      </c>
      <c r="E47" s="28" t="n">
        <v>81</v>
      </c>
      <c r="F47" s="28" t="n">
        <v>16</v>
      </c>
      <c r="G47" s="28" t="n">
        <v>5</v>
      </c>
      <c r="H47" s="28" t="n">
        <v>1</v>
      </c>
      <c r="I47" s="28" t="n">
        <v>45</v>
      </c>
      <c r="J47" s="28" t="s">
        <v>881</v>
      </c>
      <c r="K47" s="28" t="s">
        <v>930</v>
      </c>
      <c r="L47" s="28" t="s">
        <v>884</v>
      </c>
    </row>
    <row r="48" customFormat="false" ht="15" hidden="false" customHeight="true" outlineLevel="0" collapsed="false">
      <c r="A48" s="28" t="s">
        <v>697</v>
      </c>
      <c r="B48" s="28" t="s">
        <v>933</v>
      </c>
      <c r="C48" s="28" t="s">
        <v>545</v>
      </c>
      <c r="D48" s="28" t="s">
        <v>934</v>
      </c>
      <c r="E48" s="28" t="n">
        <v>76</v>
      </c>
      <c r="F48" s="28" t="n">
        <v>20</v>
      </c>
      <c r="G48" s="28" t="n">
        <v>6</v>
      </c>
      <c r="H48" s="28" t="n">
        <v>1</v>
      </c>
      <c r="I48" s="28" t="n">
        <v>30</v>
      </c>
      <c r="J48" s="28" t="s">
        <v>881</v>
      </c>
      <c r="K48" s="28" t="s">
        <v>935</v>
      </c>
      <c r="L48" s="28" t="n">
        <v>83</v>
      </c>
    </row>
    <row r="49" customFormat="false" ht="15" hidden="false" customHeight="true" outlineLevel="0" collapsed="false">
      <c r="A49" s="28" t="s">
        <v>698</v>
      </c>
      <c r="B49" s="28" t="s">
        <v>933</v>
      </c>
      <c r="C49" s="28" t="s">
        <v>554</v>
      </c>
      <c r="D49" s="28" t="s">
        <v>936</v>
      </c>
      <c r="E49" s="28" t="n">
        <v>85</v>
      </c>
      <c r="F49" s="28" t="n">
        <v>26</v>
      </c>
      <c r="G49" s="28" t="n">
        <v>8</v>
      </c>
      <c r="H49" s="28" t="n">
        <v>1</v>
      </c>
      <c r="I49" s="28" t="n">
        <v>26</v>
      </c>
      <c r="J49" s="28" t="s">
        <v>881</v>
      </c>
      <c r="K49" s="28" t="s">
        <v>935</v>
      </c>
      <c r="L49" s="28" t="s">
        <v>884</v>
      </c>
    </row>
    <row r="50" customFormat="false" ht="15" hidden="false" customHeight="true" outlineLevel="0" collapsed="false">
      <c r="A50" s="28" t="s">
        <v>699</v>
      </c>
      <c r="B50" s="28" t="s">
        <v>933</v>
      </c>
      <c r="C50" s="28" t="s">
        <v>554</v>
      </c>
      <c r="D50" s="28" t="s">
        <v>937</v>
      </c>
      <c r="E50" s="28" t="n">
        <v>70</v>
      </c>
      <c r="F50" s="28" t="n">
        <v>21</v>
      </c>
      <c r="G50" s="28" t="n">
        <v>7</v>
      </c>
      <c r="H50" s="28" t="n">
        <v>1</v>
      </c>
      <c r="I50" s="28" t="n">
        <v>26</v>
      </c>
      <c r="J50" s="28" t="s">
        <v>881</v>
      </c>
      <c r="K50" s="28" t="s">
        <v>935</v>
      </c>
      <c r="L50" s="28" t="s">
        <v>884</v>
      </c>
    </row>
    <row r="52" customFormat="false" ht="17.25" hidden="false" customHeight="true" outlineLevel="0" collapsed="false">
      <c r="A52" s="13" t="s">
        <v>938</v>
      </c>
    </row>
    <row r="53" customFormat="false" ht="39" hidden="false" customHeight="true" outlineLevel="0" collapsed="false">
      <c r="A53" s="17" t="s">
        <v>939</v>
      </c>
      <c r="B53" s="17"/>
      <c r="C53" s="17"/>
      <c r="D53" s="17"/>
      <c r="E53" s="17" t="s">
        <v>871</v>
      </c>
      <c r="F53" s="17" t="s">
        <v>872</v>
      </c>
      <c r="G53" s="17" t="s">
        <v>873</v>
      </c>
      <c r="H53" s="17" t="s">
        <v>874</v>
      </c>
      <c r="I53" s="17" t="s">
        <v>875</v>
      </c>
      <c r="J53" s="17"/>
      <c r="K53" s="17"/>
      <c r="L53" s="17" t="s">
        <v>940</v>
      </c>
    </row>
    <row r="54" customFormat="false" ht="15" hidden="false" customHeight="true" outlineLevel="0" collapsed="false">
      <c r="A54" s="5" t="s">
        <v>941</v>
      </c>
      <c r="E54" s="31" t="n">
        <f aca="false">MEDIAN(E5:E50)</f>
        <v>77</v>
      </c>
      <c r="F54" s="31" t="n">
        <f aca="false">MEDIAN(F5:F50)</f>
        <v>19.5</v>
      </c>
      <c r="G54" s="31" t="n">
        <f aca="false">MEDIAN(G5:G50)</f>
        <v>6</v>
      </c>
      <c r="H54" s="31" t="n">
        <f aca="false">MEDIAN(H5:H50)</f>
        <v>1</v>
      </c>
      <c r="I54" s="31" t="n">
        <f aca="false">MEDIAN(I5:I50)</f>
        <v>31.5</v>
      </c>
      <c r="L54" s="31" t="n">
        <f aca="false">MEDIAN(L5:L50)</f>
        <v>79</v>
      </c>
    </row>
    <row r="55" customFormat="false" ht="15" hidden="false" customHeight="true" outlineLevel="0" collapsed="false">
      <c r="A55" s="5" t="s">
        <v>942</v>
      </c>
      <c r="E55" s="31" t="n">
        <f aca="false">MIN(E5:E50)</f>
        <v>58</v>
      </c>
      <c r="F55" s="31" t="n">
        <f aca="false">MIN(F5:F50)</f>
        <v>14</v>
      </c>
      <c r="G55" s="31" t="n">
        <f aca="false">MIN(G5:G50)</f>
        <v>4</v>
      </c>
      <c r="H55" s="31" t="n">
        <f aca="false">MIN(H5:H50)</f>
        <v>0</v>
      </c>
      <c r="I55" s="31" t="n">
        <f aca="false">MIN(I5:I50)</f>
        <v>18</v>
      </c>
      <c r="L55" s="31" t="n">
        <f aca="false">MIN(L5:L50)</f>
        <v>71</v>
      </c>
    </row>
    <row r="56" customFormat="false" ht="15" hidden="false" customHeight="true" outlineLevel="0" collapsed="false">
      <c r="A56" s="5" t="s">
        <v>943</v>
      </c>
      <c r="E56" s="31" t="n">
        <f aca="false">MAX(E5:E50)</f>
        <v>184</v>
      </c>
      <c r="F56" s="31" t="n">
        <f aca="false">MAX(F5:F50)</f>
        <v>26</v>
      </c>
      <c r="G56" s="31" t="n">
        <f aca="false">MAX(G5:G50)</f>
        <v>9</v>
      </c>
      <c r="H56" s="31" t="n">
        <f aca="false">MAX(H5:H50)</f>
        <v>1</v>
      </c>
      <c r="I56" s="31" t="n">
        <f aca="false">MAX(I5:I50)</f>
        <v>131</v>
      </c>
      <c r="L56" s="31" t="n">
        <f aca="false">MAX(L5:L50)</f>
        <v>95</v>
      </c>
    </row>
    <row r="57" customFormat="false" ht="15" hidden="false" customHeight="true" outlineLevel="0" collapsed="false">
      <c r="A57" s="5" t="s">
        <v>944</v>
      </c>
      <c r="E57" s="31" t="n">
        <f aca="false">AVERAGE(E5:E50)</f>
        <v>79.0869565217391</v>
      </c>
      <c r="F57" s="31" t="n">
        <f aca="false">AVERAGE(F5:F50)</f>
        <v>20.0652173913043</v>
      </c>
      <c r="G57" s="31" t="n">
        <f aca="false">AVERAGE(G5:G50)</f>
        <v>6.04347826086957</v>
      </c>
      <c r="H57" s="31" t="n">
        <f aca="false">AVERAGE(H5:H50)</f>
        <v>0.891304347826087</v>
      </c>
      <c r="I57" s="31" t="n">
        <f aca="false">AVERAGE(I5:I50)</f>
        <v>34.7608695652174</v>
      </c>
      <c r="L57" s="31" t="n">
        <f aca="false">AVERAGE(L5:L50)</f>
        <v>79.3333333333333</v>
      </c>
    </row>
    <row r="58" customFormat="false" ht="15" hidden="false" customHeight="true" outlineLevel="0" collapsed="false">
      <c r="A58" s="5" t="s">
        <v>945</v>
      </c>
      <c r="E58" s="1" t="n">
        <f aca="false">COUNT(E5:E50)</f>
        <v>46</v>
      </c>
    </row>
    <row r="59" customFormat="false" ht="15" hidden="false" customHeight="true" outlineLevel="0" collapsed="false">
      <c r="A59" s="5" t="s">
        <v>946</v>
      </c>
      <c r="E59" s="24" t="n">
        <f aca="false">I54/E54</f>
        <v>0.409090909090909</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7"/>
    <col collapsed="false" customWidth="true" hidden="false" outlineLevel="0" max="3" min="3" style="1" width="22"/>
    <col collapsed="false" customWidth="true" hidden="false" outlineLevel="0" max="5" min="4" style="1" width="34"/>
    <col collapsed="false" customWidth="true" hidden="false" outlineLevel="0" max="6" min="6" style="1" width="13"/>
    <col collapsed="false" customWidth="true" hidden="false" outlineLevel="0" max="7" min="7" style="1" width="9"/>
    <col collapsed="false" customWidth="true" hidden="false" outlineLevel="0" max="8" min="8" style="1" width="6"/>
    <col collapsed="false" customWidth="true" hidden="false" outlineLevel="0" max="9" min="9" style="1" width="13"/>
    <col collapsed="false" customWidth="true" hidden="false" outlineLevel="0" max="10" min="10" style="1" width="9"/>
    <col collapsed="false" customWidth="true" hidden="false" outlineLevel="0" max="11" min="11" style="1" width="26"/>
    <col collapsed="false" customWidth="true" hidden="false" outlineLevel="0" max="12" min="12" style="1" width="24"/>
    <col collapsed="false" customWidth="true" hidden="false" outlineLevel="0" max="13" min="13" style="1" width="44"/>
    <col collapsed="false" customWidth="true" hidden="false" outlineLevel="0" max="14" min="14" style="1" width="12"/>
    <col collapsed="false" customWidth="true" hidden="false" outlineLevel="0" max="15" min="15" style="1" width="11"/>
    <col collapsed="false" customWidth="true" hidden="false" outlineLevel="0" max="16" min="16" style="1" width="10"/>
  </cols>
  <sheetData>
    <row r="1" customFormat="false" ht="17.25" hidden="false" customHeight="true" outlineLevel="0" collapsed="false">
      <c r="A1" s="13" t="s">
        <v>947</v>
      </c>
    </row>
    <row r="2" customFormat="false" ht="75" hidden="false" customHeight="true" outlineLevel="0" collapsed="false">
      <c r="A2" s="16" t="s">
        <v>948</v>
      </c>
      <c r="B2" s="16"/>
      <c r="C2" s="16"/>
      <c r="D2" s="16"/>
      <c r="E2" s="16"/>
      <c r="F2" s="16"/>
      <c r="G2" s="16"/>
      <c r="H2" s="16"/>
      <c r="I2" s="16"/>
      <c r="J2" s="16"/>
      <c r="K2" s="16"/>
      <c r="L2" s="16"/>
      <c r="M2" s="16"/>
      <c r="N2" s="16"/>
      <c r="O2" s="16"/>
      <c r="P2" s="16"/>
    </row>
    <row r="4" customFormat="false" ht="51.75" hidden="false" customHeight="true" outlineLevel="0" collapsed="false">
      <c r="A4" s="17" t="s">
        <v>185</v>
      </c>
      <c r="B4" s="17" t="s">
        <v>949</v>
      </c>
      <c r="C4" s="17" t="s">
        <v>950</v>
      </c>
      <c r="D4" s="17" t="s">
        <v>951</v>
      </c>
      <c r="E4" s="17" t="s">
        <v>952</v>
      </c>
      <c r="F4" s="17" t="s">
        <v>869</v>
      </c>
      <c r="G4" s="17" t="s">
        <v>537</v>
      </c>
      <c r="H4" s="17" t="s">
        <v>533</v>
      </c>
      <c r="I4" s="17" t="s">
        <v>534</v>
      </c>
      <c r="J4" s="17" t="s">
        <v>953</v>
      </c>
      <c r="K4" s="17" t="s">
        <v>954</v>
      </c>
      <c r="L4" s="17" t="s">
        <v>955</v>
      </c>
      <c r="M4" s="17" t="s">
        <v>956</v>
      </c>
      <c r="N4" s="17" t="s">
        <v>957</v>
      </c>
      <c r="O4" s="17" t="s">
        <v>958</v>
      </c>
      <c r="P4" s="17" t="s">
        <v>959</v>
      </c>
    </row>
    <row r="5" customFormat="false" ht="48" hidden="false" customHeight="true" outlineLevel="0" collapsed="false">
      <c r="A5" s="28" t="s">
        <v>45</v>
      </c>
      <c r="B5" s="28" t="s">
        <v>960</v>
      </c>
      <c r="C5" s="8" t="s">
        <v>961</v>
      </c>
      <c r="D5" s="8" t="s">
        <v>962</v>
      </c>
      <c r="E5" s="8" t="s">
        <v>963</v>
      </c>
      <c r="F5" s="28" t="s">
        <v>964</v>
      </c>
      <c r="G5" s="28" t="s">
        <v>965</v>
      </c>
      <c r="H5" s="28" t="n">
        <v>85</v>
      </c>
      <c r="I5" s="28" t="s">
        <v>966</v>
      </c>
      <c r="J5" s="28" t="s">
        <v>967</v>
      </c>
      <c r="K5" s="8" t="s">
        <v>968</v>
      </c>
      <c r="L5" s="8" t="s">
        <v>969</v>
      </c>
      <c r="M5" s="8" t="s">
        <v>970</v>
      </c>
      <c r="N5" s="8" t="s">
        <v>783</v>
      </c>
      <c r="O5" s="28" t="s">
        <v>971</v>
      </c>
      <c r="P5" s="28" t="s">
        <v>972</v>
      </c>
    </row>
    <row r="6" customFormat="false" ht="48" hidden="false" customHeight="true" outlineLevel="0" collapsed="false">
      <c r="A6" s="28" t="s">
        <v>45</v>
      </c>
      <c r="B6" s="28" t="s">
        <v>973</v>
      </c>
      <c r="C6" s="8" t="s">
        <v>974</v>
      </c>
      <c r="D6" s="8" t="s">
        <v>975</v>
      </c>
      <c r="E6" s="8" t="s">
        <v>976</v>
      </c>
      <c r="F6" s="28" t="s">
        <v>977</v>
      </c>
      <c r="G6" s="28" t="s">
        <v>978</v>
      </c>
      <c r="H6" s="28" t="n">
        <v>98</v>
      </c>
      <c r="I6" s="28" t="s">
        <v>979</v>
      </c>
      <c r="J6" s="28" t="s">
        <v>967</v>
      </c>
      <c r="K6" s="8" t="s">
        <v>980</v>
      </c>
      <c r="L6" s="8" t="s">
        <v>981</v>
      </c>
      <c r="M6" s="8" t="s">
        <v>982</v>
      </c>
      <c r="N6" s="8" t="s">
        <v>783</v>
      </c>
      <c r="O6" s="28" t="s">
        <v>971</v>
      </c>
      <c r="P6" s="28" t="s">
        <v>783</v>
      </c>
    </row>
    <row r="7" customFormat="false" ht="48" hidden="false" customHeight="true" outlineLevel="0" collapsed="false">
      <c r="A7" s="28" t="s">
        <v>58</v>
      </c>
      <c r="B7" s="28" t="s">
        <v>960</v>
      </c>
      <c r="C7" s="8" t="s">
        <v>983</v>
      </c>
      <c r="D7" s="8" t="s">
        <v>962</v>
      </c>
      <c r="E7" s="8" t="s">
        <v>984</v>
      </c>
      <c r="F7" s="28" t="s">
        <v>985</v>
      </c>
      <c r="G7" s="28" t="s">
        <v>986</v>
      </c>
      <c r="H7" s="28" t="n">
        <v>86</v>
      </c>
      <c r="I7" s="28" t="s">
        <v>987</v>
      </c>
      <c r="J7" s="28" t="s">
        <v>967</v>
      </c>
      <c r="K7" s="8" t="s">
        <v>988</v>
      </c>
      <c r="L7" s="8" t="s">
        <v>989</v>
      </c>
      <c r="M7" s="8" t="s">
        <v>990</v>
      </c>
      <c r="N7" s="8" t="s">
        <v>783</v>
      </c>
      <c r="O7" s="28" t="s">
        <v>971</v>
      </c>
      <c r="P7" s="28" t="s">
        <v>972</v>
      </c>
    </row>
    <row r="8" customFormat="false" ht="48" hidden="false" customHeight="true" outlineLevel="0" collapsed="false">
      <c r="A8" s="28" t="s">
        <v>58</v>
      </c>
      <c r="B8" s="28" t="s">
        <v>973</v>
      </c>
      <c r="C8" s="8" t="s">
        <v>974</v>
      </c>
      <c r="D8" s="8" t="s">
        <v>991</v>
      </c>
      <c r="E8" s="8" t="s">
        <v>976</v>
      </c>
      <c r="F8" s="28" t="s">
        <v>992</v>
      </c>
      <c r="G8" s="28" t="s">
        <v>993</v>
      </c>
      <c r="H8" s="28" t="n">
        <v>99</v>
      </c>
      <c r="I8" s="28" t="s">
        <v>994</v>
      </c>
      <c r="J8" s="28" t="s">
        <v>967</v>
      </c>
      <c r="K8" s="8" t="s">
        <v>980</v>
      </c>
      <c r="L8" s="8" t="s">
        <v>981</v>
      </c>
      <c r="M8" s="8" t="s">
        <v>995</v>
      </c>
      <c r="N8" s="8" t="s">
        <v>783</v>
      </c>
      <c r="O8" s="28" t="s">
        <v>971</v>
      </c>
      <c r="P8" s="28" t="s">
        <v>783</v>
      </c>
    </row>
    <row r="9" customFormat="false" ht="48" hidden="false" customHeight="true" outlineLevel="0" collapsed="false">
      <c r="A9" s="28" t="s">
        <v>68</v>
      </c>
      <c r="B9" s="28" t="s">
        <v>960</v>
      </c>
      <c r="C9" s="8" t="s">
        <v>996</v>
      </c>
      <c r="D9" s="8" t="s">
        <v>962</v>
      </c>
      <c r="E9" s="8" t="s">
        <v>997</v>
      </c>
      <c r="F9" s="28" t="s">
        <v>998</v>
      </c>
      <c r="G9" s="28" t="s">
        <v>999</v>
      </c>
      <c r="H9" s="28" t="n">
        <v>87</v>
      </c>
      <c r="I9" s="28" t="s">
        <v>1000</v>
      </c>
      <c r="J9" s="28" t="s">
        <v>967</v>
      </c>
      <c r="K9" s="8" t="s">
        <v>1001</v>
      </c>
      <c r="L9" s="8" t="s">
        <v>1002</v>
      </c>
      <c r="M9" s="8" t="s">
        <v>1003</v>
      </c>
      <c r="N9" s="8" t="s">
        <v>783</v>
      </c>
      <c r="O9" s="28" t="s">
        <v>971</v>
      </c>
      <c r="P9" s="28" t="s">
        <v>783</v>
      </c>
    </row>
    <row r="10" customFormat="false" ht="48" hidden="false" customHeight="true" outlineLevel="0" collapsed="false">
      <c r="A10" s="28" t="s">
        <v>68</v>
      </c>
      <c r="B10" s="28" t="s">
        <v>973</v>
      </c>
      <c r="C10" s="8" t="s">
        <v>974</v>
      </c>
      <c r="D10" s="8" t="s">
        <v>991</v>
      </c>
      <c r="E10" s="8" t="s">
        <v>976</v>
      </c>
      <c r="F10" s="28" t="s">
        <v>1004</v>
      </c>
      <c r="G10" s="28" t="s">
        <v>1005</v>
      </c>
      <c r="H10" s="28" t="n">
        <v>100</v>
      </c>
      <c r="I10" s="28" t="s">
        <v>1006</v>
      </c>
      <c r="J10" s="28" t="s">
        <v>967</v>
      </c>
      <c r="K10" s="8" t="s">
        <v>980</v>
      </c>
      <c r="L10" s="8" t="s">
        <v>981</v>
      </c>
      <c r="M10" s="8" t="s">
        <v>1007</v>
      </c>
      <c r="N10" s="8" t="s">
        <v>783</v>
      </c>
      <c r="O10" s="28" t="s">
        <v>971</v>
      </c>
      <c r="P10" s="28" t="s">
        <v>783</v>
      </c>
    </row>
    <row r="11" customFormat="false" ht="48" hidden="false" customHeight="true" outlineLevel="0" collapsed="false">
      <c r="A11" s="28" t="s">
        <v>78</v>
      </c>
      <c r="B11" s="28" t="s">
        <v>960</v>
      </c>
      <c r="C11" s="8" t="s">
        <v>1008</v>
      </c>
      <c r="D11" s="8" t="s">
        <v>1009</v>
      </c>
      <c r="E11" s="8" t="s">
        <v>1010</v>
      </c>
      <c r="F11" s="28" t="s">
        <v>1011</v>
      </c>
      <c r="G11" s="28" t="s">
        <v>1012</v>
      </c>
      <c r="H11" s="28" t="n">
        <v>88</v>
      </c>
      <c r="I11" s="28" t="s">
        <v>1013</v>
      </c>
      <c r="J11" s="28" t="s">
        <v>967</v>
      </c>
      <c r="K11" s="8" t="s">
        <v>1014</v>
      </c>
      <c r="L11" s="8" t="s">
        <v>981</v>
      </c>
      <c r="M11" s="8" t="s">
        <v>995</v>
      </c>
      <c r="N11" s="8" t="s">
        <v>783</v>
      </c>
      <c r="O11" s="28" t="s">
        <v>1015</v>
      </c>
      <c r="P11" s="28" t="s">
        <v>783</v>
      </c>
    </row>
    <row r="12" customFormat="false" ht="48" hidden="false" customHeight="true" outlineLevel="0" collapsed="false">
      <c r="A12" s="28" t="s">
        <v>87</v>
      </c>
      <c r="B12" s="28" t="s">
        <v>960</v>
      </c>
      <c r="C12" s="8" t="s">
        <v>1016</v>
      </c>
      <c r="D12" s="8" t="s">
        <v>1017</v>
      </c>
      <c r="E12" s="8" t="s">
        <v>1018</v>
      </c>
      <c r="F12" s="28" t="s">
        <v>1019</v>
      </c>
      <c r="G12" s="28" t="s">
        <v>1020</v>
      </c>
      <c r="H12" s="28" t="n">
        <v>89</v>
      </c>
      <c r="I12" s="28" t="s">
        <v>1021</v>
      </c>
      <c r="J12" s="28" t="s">
        <v>967</v>
      </c>
      <c r="K12" s="8" t="s">
        <v>1022</v>
      </c>
      <c r="L12" s="8" t="s">
        <v>981</v>
      </c>
      <c r="M12" s="8" t="s">
        <v>995</v>
      </c>
      <c r="N12" s="8" t="s">
        <v>783</v>
      </c>
      <c r="O12" s="28" t="s">
        <v>1015</v>
      </c>
      <c r="P12" s="28" t="s">
        <v>783</v>
      </c>
    </row>
    <row r="13" customFormat="false" ht="48" hidden="false" customHeight="true" outlineLevel="0" collapsed="false">
      <c r="A13" s="28" t="s">
        <v>96</v>
      </c>
      <c r="B13" s="28" t="s">
        <v>960</v>
      </c>
      <c r="C13" s="8" t="s">
        <v>1023</v>
      </c>
      <c r="D13" s="8" t="s">
        <v>1024</v>
      </c>
      <c r="E13" s="8" t="s">
        <v>1025</v>
      </c>
      <c r="F13" s="28" t="s">
        <v>1026</v>
      </c>
      <c r="G13" s="28" t="s">
        <v>1027</v>
      </c>
      <c r="H13" s="28" t="n">
        <v>90</v>
      </c>
      <c r="I13" s="28" t="s">
        <v>1028</v>
      </c>
      <c r="J13" s="28" t="s">
        <v>967</v>
      </c>
      <c r="K13" s="8" t="s">
        <v>1029</v>
      </c>
      <c r="L13" s="8" t="s">
        <v>1030</v>
      </c>
      <c r="M13" s="8" t="s">
        <v>1031</v>
      </c>
      <c r="N13" s="8" t="s">
        <v>783</v>
      </c>
      <c r="O13" s="28" t="s">
        <v>1032</v>
      </c>
      <c r="P13" s="28" t="s">
        <v>1033</v>
      </c>
    </row>
    <row r="14" customFormat="false" ht="48" hidden="false" customHeight="true" outlineLevel="0" collapsed="false">
      <c r="A14" s="28" t="s">
        <v>106</v>
      </c>
      <c r="B14" s="28" t="s">
        <v>960</v>
      </c>
      <c r="C14" s="8" t="s">
        <v>1034</v>
      </c>
      <c r="D14" s="8" t="s">
        <v>1035</v>
      </c>
      <c r="E14" s="8" t="s">
        <v>1036</v>
      </c>
      <c r="F14" s="28" t="s">
        <v>1037</v>
      </c>
      <c r="G14" s="28" t="s">
        <v>1038</v>
      </c>
      <c r="H14" s="28" t="n">
        <v>91</v>
      </c>
      <c r="I14" s="28" t="s">
        <v>1039</v>
      </c>
      <c r="J14" s="28" t="s">
        <v>967</v>
      </c>
      <c r="K14" s="8" t="s">
        <v>1040</v>
      </c>
      <c r="L14" s="8" t="s">
        <v>981</v>
      </c>
      <c r="M14" s="8" t="s">
        <v>995</v>
      </c>
      <c r="N14" s="8" t="s">
        <v>783</v>
      </c>
      <c r="O14" s="28" t="s">
        <v>1041</v>
      </c>
      <c r="P14" s="28" t="s">
        <v>783</v>
      </c>
    </row>
    <row r="15" customFormat="false" ht="48" hidden="false" customHeight="true" outlineLevel="0" collapsed="false">
      <c r="A15" s="28" t="s">
        <v>115</v>
      </c>
      <c r="B15" s="28" t="s">
        <v>960</v>
      </c>
      <c r="C15" s="8" t="s">
        <v>1042</v>
      </c>
      <c r="D15" s="8" t="s">
        <v>1043</v>
      </c>
      <c r="E15" s="8" t="s">
        <v>1044</v>
      </c>
      <c r="F15" s="28" t="s">
        <v>1045</v>
      </c>
      <c r="G15" s="28" t="s">
        <v>1046</v>
      </c>
      <c r="H15" s="28" t="n">
        <v>92</v>
      </c>
      <c r="I15" s="28" t="s">
        <v>1047</v>
      </c>
      <c r="J15" s="28" t="s">
        <v>967</v>
      </c>
      <c r="K15" s="8" t="s">
        <v>1048</v>
      </c>
      <c r="L15" s="8" t="s">
        <v>981</v>
      </c>
      <c r="M15" s="8" t="s">
        <v>995</v>
      </c>
      <c r="N15" s="8" t="s">
        <v>1049</v>
      </c>
      <c r="O15" s="28" t="s">
        <v>1041</v>
      </c>
      <c r="P15" s="28" t="s">
        <v>783</v>
      </c>
    </row>
    <row r="16" customFormat="false" ht="48" hidden="false" customHeight="true" outlineLevel="0" collapsed="false">
      <c r="A16" s="28" t="s">
        <v>123</v>
      </c>
      <c r="B16" s="28" t="s">
        <v>960</v>
      </c>
      <c r="C16" s="8" t="s">
        <v>1050</v>
      </c>
      <c r="D16" s="8" t="s">
        <v>1051</v>
      </c>
      <c r="E16" s="8" t="s">
        <v>1052</v>
      </c>
      <c r="F16" s="28" t="s">
        <v>1053</v>
      </c>
      <c r="G16" s="28" t="s">
        <v>1054</v>
      </c>
      <c r="H16" s="28" t="n">
        <v>93</v>
      </c>
      <c r="I16" s="28" t="s">
        <v>1055</v>
      </c>
      <c r="J16" s="28" t="s">
        <v>967</v>
      </c>
      <c r="K16" s="8" t="s">
        <v>1056</v>
      </c>
      <c r="L16" s="8" t="s">
        <v>981</v>
      </c>
      <c r="M16" s="8" t="s">
        <v>1057</v>
      </c>
      <c r="N16" s="8" t="s">
        <v>783</v>
      </c>
      <c r="O16" s="28" t="s">
        <v>1015</v>
      </c>
      <c r="P16" s="28" t="s">
        <v>884</v>
      </c>
    </row>
    <row r="17" customFormat="false" ht="48" hidden="false" customHeight="true" outlineLevel="0" collapsed="false">
      <c r="A17" s="28" t="s">
        <v>123</v>
      </c>
      <c r="B17" s="28" t="s">
        <v>1058</v>
      </c>
      <c r="C17" s="8" t="s">
        <v>1059</v>
      </c>
      <c r="D17" s="8" t="s">
        <v>1060</v>
      </c>
      <c r="E17" s="8" t="s">
        <v>1061</v>
      </c>
      <c r="F17" s="28" t="s">
        <v>1062</v>
      </c>
      <c r="G17" s="28" t="s">
        <v>1063</v>
      </c>
      <c r="H17" s="28" t="n">
        <v>94</v>
      </c>
      <c r="I17" s="28" t="s">
        <v>1064</v>
      </c>
      <c r="J17" s="28" t="s">
        <v>1065</v>
      </c>
      <c r="K17" s="8" t="s">
        <v>1066</v>
      </c>
      <c r="L17" s="8" t="s">
        <v>1066</v>
      </c>
      <c r="M17" s="8" t="s">
        <v>1066</v>
      </c>
      <c r="N17" s="8" t="s">
        <v>1067</v>
      </c>
      <c r="O17" s="28" t="s">
        <v>884</v>
      </c>
      <c r="P17" s="28" t="s">
        <v>884</v>
      </c>
    </row>
    <row r="18" customFormat="false" ht="48" hidden="false" customHeight="true" outlineLevel="0" collapsed="false">
      <c r="A18" s="28" t="s">
        <v>132</v>
      </c>
      <c r="B18" s="28" t="s">
        <v>960</v>
      </c>
      <c r="C18" s="8" t="s">
        <v>1068</v>
      </c>
      <c r="D18" s="8" t="s">
        <v>1069</v>
      </c>
      <c r="E18" s="8" t="s">
        <v>1070</v>
      </c>
      <c r="F18" s="28" t="s">
        <v>1071</v>
      </c>
      <c r="G18" s="28" t="s">
        <v>1072</v>
      </c>
      <c r="H18" s="28" t="n">
        <v>95</v>
      </c>
      <c r="I18" s="28" t="s">
        <v>1073</v>
      </c>
      <c r="J18" s="28" t="s">
        <v>967</v>
      </c>
      <c r="K18" s="8" t="s">
        <v>1074</v>
      </c>
      <c r="L18" s="8" t="s">
        <v>981</v>
      </c>
      <c r="M18" s="8" t="s">
        <v>995</v>
      </c>
      <c r="N18" s="8" t="s">
        <v>783</v>
      </c>
      <c r="O18" s="28" t="s">
        <v>1015</v>
      </c>
      <c r="P18" s="28" t="s">
        <v>783</v>
      </c>
    </row>
    <row r="19" customFormat="false" ht="48" hidden="false" customHeight="true" outlineLevel="0" collapsed="false">
      <c r="A19" s="28" t="s">
        <v>194</v>
      </c>
      <c r="B19" s="28" t="s">
        <v>960</v>
      </c>
      <c r="C19" s="8" t="s">
        <v>1075</v>
      </c>
      <c r="D19" s="8" t="s">
        <v>1076</v>
      </c>
      <c r="E19" s="8" t="s">
        <v>1010</v>
      </c>
      <c r="F19" s="28" t="s">
        <v>1077</v>
      </c>
      <c r="G19" s="28" t="s">
        <v>1078</v>
      </c>
      <c r="H19" s="28" t="n">
        <v>96</v>
      </c>
      <c r="I19" s="28" t="s">
        <v>1079</v>
      </c>
      <c r="J19" s="28" t="s">
        <v>967</v>
      </c>
      <c r="K19" s="8" t="s">
        <v>1040</v>
      </c>
      <c r="L19" s="8" t="s">
        <v>981</v>
      </c>
      <c r="M19" s="8" t="s">
        <v>995</v>
      </c>
      <c r="N19" s="8" t="s">
        <v>783</v>
      </c>
      <c r="O19" s="28" t="s">
        <v>1041</v>
      </c>
      <c r="P19" s="28" t="s">
        <v>783</v>
      </c>
    </row>
    <row r="20" customFormat="false" ht="48" hidden="false" customHeight="true" outlineLevel="0" collapsed="false">
      <c r="A20" s="28" t="s">
        <v>198</v>
      </c>
      <c r="B20" s="28" t="s">
        <v>960</v>
      </c>
      <c r="C20" s="8" t="s">
        <v>1080</v>
      </c>
      <c r="D20" s="8" t="s">
        <v>1081</v>
      </c>
      <c r="E20" s="8" t="s">
        <v>1082</v>
      </c>
      <c r="F20" s="28" t="s">
        <v>1083</v>
      </c>
      <c r="G20" s="28" t="s">
        <v>1084</v>
      </c>
      <c r="H20" s="28" t="n">
        <v>97</v>
      </c>
      <c r="I20" s="28" t="s">
        <v>1085</v>
      </c>
      <c r="J20" s="28" t="s">
        <v>967</v>
      </c>
      <c r="K20" s="8" t="s">
        <v>1040</v>
      </c>
      <c r="L20" s="8" t="s">
        <v>981</v>
      </c>
      <c r="M20" s="8" t="s">
        <v>1086</v>
      </c>
      <c r="N20" s="8" t="s">
        <v>1087</v>
      </c>
      <c r="O20" s="28" t="s">
        <v>1041</v>
      </c>
      <c r="P20" s="28" t="s">
        <v>1088</v>
      </c>
    </row>
    <row r="22" customFormat="false" ht="17.25" hidden="false" customHeight="true" outlineLevel="0" collapsed="false">
      <c r="A22" s="13" t="s">
        <v>1089</v>
      </c>
    </row>
    <row r="23" customFormat="false" ht="15" hidden="false" customHeight="true" outlineLevel="0" collapsed="false">
      <c r="A23" s="32" t="s">
        <v>1090</v>
      </c>
      <c r="B23" s="32"/>
      <c r="C23" s="32"/>
      <c r="D23" s="32"/>
      <c r="E23" s="32"/>
      <c r="F23" s="6" t="n">
        <f aca="false">COUNTIFS(B5:B20,"a")</f>
        <v>12</v>
      </c>
    </row>
    <row r="24" customFormat="false" ht="15" hidden="false" customHeight="true" outlineLevel="0" collapsed="false">
      <c r="A24" s="32" t="s">
        <v>1091</v>
      </c>
      <c r="B24" s="32"/>
      <c r="C24" s="32"/>
      <c r="D24" s="32"/>
      <c r="E24" s="32"/>
      <c r="F24" s="6" t="n">
        <f aca="false">COUNTIFS(B5:B20,"a",N5:N20,"Yes*")</f>
        <v>12</v>
      </c>
    </row>
    <row r="25" customFormat="false" ht="15" hidden="false" customHeight="true" outlineLevel="0" collapsed="false">
      <c r="A25" s="32" t="s">
        <v>1092</v>
      </c>
      <c r="B25" s="32"/>
      <c r="C25" s="32"/>
      <c r="D25" s="32"/>
      <c r="E25" s="32"/>
      <c r="F25" s="6" t="n">
        <f aca="false">COUNTIFS(B5:B20,"a",J5:J20,"Pass")</f>
        <v>12</v>
      </c>
    </row>
    <row r="26" customFormat="false" ht="15" hidden="false" customHeight="true" outlineLevel="0" collapsed="false">
      <c r="A26" s="32" t="s">
        <v>1093</v>
      </c>
      <c r="B26" s="32"/>
      <c r="C26" s="32"/>
      <c r="D26" s="32"/>
      <c r="E26" s="32"/>
      <c r="F26" s="6" t="n">
        <f aca="false">COUNTIFS(B5:B20,"a",O5:O20,"Yes*")</f>
        <v>8</v>
      </c>
    </row>
    <row r="27" customFormat="false" ht="15" hidden="false" customHeight="true" outlineLevel="0" collapsed="false">
      <c r="A27" s="32" t="s">
        <v>1094</v>
      </c>
      <c r="B27" s="32"/>
      <c r="C27" s="32"/>
      <c r="D27" s="32"/>
      <c r="E27" s="32"/>
      <c r="F27" s="6" t="n">
        <f aca="false">COUNTIFS(B5:B20,"a",O5:O20,"n/a (blind)")</f>
        <v>4</v>
      </c>
    </row>
    <row r="28" customFormat="false" ht="15" hidden="false" customHeight="true" outlineLevel="0" collapsed="false">
      <c r="A28" s="32" t="s">
        <v>1095</v>
      </c>
      <c r="B28" s="32"/>
      <c r="C28" s="32"/>
      <c r="D28" s="32"/>
      <c r="E28" s="32"/>
      <c r="F28" s="6" t="n">
        <f aca="false">COUNTIFS(B5:B20,"a",P5:P20,"Yes*")+COUNTIFS(B5:B20,"a",P5:P20,"Target yes*")</f>
        <v>9</v>
      </c>
    </row>
    <row r="29" customFormat="false" ht="15" hidden="false" customHeight="true" outlineLevel="0" collapsed="false">
      <c r="A29" s="32" t="s">
        <v>1096</v>
      </c>
      <c r="B29" s="32"/>
      <c r="C29" s="32"/>
      <c r="D29" s="32"/>
      <c r="E29" s="32"/>
      <c r="F29" s="6" t="n">
        <f aca="false">COUNTIFS(B5:B20,"a",P5:P20,"No")</f>
        <v>2</v>
      </c>
    </row>
    <row r="30" customFormat="false" ht="15" hidden="false" customHeight="true" outlineLevel="0" collapsed="false">
      <c r="A30" s="32" t="s">
        <v>1097</v>
      </c>
      <c r="B30" s="32"/>
      <c r="C30" s="32"/>
      <c r="D30" s="32"/>
      <c r="E30" s="32"/>
      <c r="F30" s="6" t="n">
        <f aca="false">COUNTIFS(B5:B20,"b",P5:P20,"Yes*")</f>
        <v>3</v>
      </c>
    </row>
    <row r="31" customFormat="false" ht="15" hidden="false" customHeight="true" outlineLevel="0" collapsed="false">
      <c r="A31" s="32" t="s">
        <v>1098</v>
      </c>
      <c r="B31" s="32"/>
      <c r="C31" s="32"/>
      <c r="D31" s="32"/>
      <c r="E31" s="32"/>
      <c r="F31" s="6" t="n">
        <f aca="false">COUNTIFS(J5:J20,"FAIL*")</f>
        <v>1</v>
      </c>
    </row>
    <row r="33" customFormat="false" ht="15" hidden="false" customHeight="true" outlineLevel="0" collapsed="false">
      <c r="A33" s="23" t="s">
        <v>1099</v>
      </c>
    </row>
  </sheetData>
  <mergeCells count="10">
    <mergeCell ref="A2:P2"/>
    <mergeCell ref="A23:E23"/>
    <mergeCell ref="A24:E24"/>
    <mergeCell ref="A25:E25"/>
    <mergeCell ref="A26:E26"/>
    <mergeCell ref="A27:E27"/>
    <mergeCell ref="A28:E28"/>
    <mergeCell ref="A29:E29"/>
    <mergeCell ref="A30:E30"/>
    <mergeCell ref="A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60"/>
    <col collapsed="false" customWidth="true" hidden="false" outlineLevel="0" max="3" min="3" style="1" width="70"/>
    <col collapsed="false" customWidth="true" hidden="false" outlineLevel="0" max="4" min="4" style="1" width="25"/>
  </cols>
  <sheetData>
    <row r="1" customFormat="false" ht="15" hidden="false" customHeight="true" outlineLevel="0" collapsed="false">
      <c r="A1" s="7" t="s">
        <v>1100</v>
      </c>
      <c r="B1" s="7" t="s">
        <v>1101</v>
      </c>
      <c r="C1" s="7" t="s">
        <v>1102</v>
      </c>
      <c r="D1" s="7" t="s">
        <v>1103</v>
      </c>
    </row>
    <row r="2" customFormat="false" ht="26.25" hidden="false" customHeight="true" outlineLevel="0" collapsed="false">
      <c r="A2" s="8" t="n">
        <v>1</v>
      </c>
      <c r="B2" s="8" t="s">
        <v>1104</v>
      </c>
      <c r="C2" s="8" t="s">
        <v>1105</v>
      </c>
      <c r="D2" s="33" t="s">
        <v>1106</v>
      </c>
    </row>
    <row r="3" customFormat="false" ht="26.25" hidden="false" customHeight="true" outlineLevel="0" collapsed="false">
      <c r="A3" s="8" t="n">
        <v>2</v>
      </c>
      <c r="B3" s="8" t="s">
        <v>1107</v>
      </c>
      <c r="C3" s="8" t="s">
        <v>1108</v>
      </c>
      <c r="D3" s="33" t="s">
        <v>1106</v>
      </c>
    </row>
    <row r="4" customFormat="false" ht="26.25" hidden="false" customHeight="true" outlineLevel="0" collapsed="false">
      <c r="A4" s="8" t="n">
        <v>3</v>
      </c>
      <c r="B4" s="8" t="s">
        <v>1109</v>
      </c>
      <c r="C4" s="8" t="s">
        <v>1110</v>
      </c>
      <c r="D4" s="33" t="s">
        <v>1106</v>
      </c>
    </row>
    <row r="5" customFormat="false" ht="26.25" hidden="false" customHeight="true" outlineLevel="0" collapsed="false">
      <c r="A5" s="8" t="n">
        <v>4</v>
      </c>
      <c r="B5" s="8" t="s">
        <v>1111</v>
      </c>
      <c r="C5" s="8" t="s">
        <v>1112</v>
      </c>
      <c r="D5" s="33" t="s">
        <v>1106</v>
      </c>
    </row>
    <row r="6" customFormat="false" ht="15" hidden="false" customHeight="true" outlineLevel="0" collapsed="false">
      <c r="A6" s="8" t="n">
        <v>5</v>
      </c>
      <c r="B6" s="8" t="s">
        <v>1113</v>
      </c>
      <c r="C6" s="8" t="s">
        <v>1114</v>
      </c>
      <c r="D6" s="33" t="s">
        <v>1106</v>
      </c>
    </row>
    <row r="7" customFormat="false" ht="26.25" hidden="false" customHeight="true" outlineLevel="0" collapsed="false">
      <c r="A7" s="8" t="n">
        <v>6</v>
      </c>
      <c r="B7" s="8" t="s">
        <v>1115</v>
      </c>
      <c r="C7" s="8" t="s">
        <v>1116</v>
      </c>
      <c r="D7" s="33" t="s">
        <v>1106</v>
      </c>
    </row>
    <row r="8" customFormat="false" ht="15" hidden="false" customHeight="true" outlineLevel="0" collapsed="false">
      <c r="A8" s="8" t="n">
        <v>7</v>
      </c>
      <c r="B8" s="8" t="s">
        <v>1117</v>
      </c>
      <c r="C8" s="8" t="s">
        <v>1118</v>
      </c>
      <c r="D8" s="33" t="s">
        <v>1106</v>
      </c>
    </row>
    <row r="9" customFormat="false" ht="26.25" hidden="false" customHeight="true" outlineLevel="0" collapsed="false">
      <c r="A9" s="8" t="n">
        <v>8</v>
      </c>
      <c r="B9" s="8" t="s">
        <v>1119</v>
      </c>
      <c r="C9" s="8" t="s">
        <v>1120</v>
      </c>
      <c r="D9" s="33" t="s">
        <v>1106</v>
      </c>
    </row>
    <row r="10" customFormat="false" ht="26.25" hidden="false" customHeight="true" outlineLevel="0" collapsed="false">
      <c r="A10" s="8" t="n">
        <v>9</v>
      </c>
      <c r="B10" s="8" t="s">
        <v>1121</v>
      </c>
      <c r="C10" s="8" t="s">
        <v>1122</v>
      </c>
      <c r="D10" s="33" t="s">
        <v>1106</v>
      </c>
    </row>
    <row r="11" customFormat="false" ht="15" hidden="false" customHeight="true" outlineLevel="0" collapsed="false">
      <c r="A11" s="8" t="n">
        <v>10</v>
      </c>
      <c r="B11" s="8" t="s">
        <v>1123</v>
      </c>
      <c r="C11" s="8" t="s">
        <v>75</v>
      </c>
      <c r="D11" s="33" t="s">
        <v>1106</v>
      </c>
    </row>
    <row r="12" customFormat="false" ht="52.2" hidden="false" customHeight="false" outlineLevel="0" collapsed="false">
      <c r="A12" s="8" t="n">
        <v>11</v>
      </c>
      <c r="B12" s="8" t="s">
        <v>1124</v>
      </c>
      <c r="C12" s="8" t="s">
        <v>1125</v>
      </c>
      <c r="D12" s="33" t="s">
        <v>1126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55"/>
    <col collapsed="false" customWidth="true" hidden="false" outlineLevel="0" max="4" min="3" style="1" width="45"/>
  </cols>
  <sheetData>
    <row r="1" customFormat="false" ht="17.25" hidden="false" customHeight="true" outlineLevel="0" collapsed="false">
      <c r="A1" s="13" t="s">
        <v>1127</v>
      </c>
    </row>
    <row r="2" customFormat="false" ht="30" hidden="false" customHeight="true" outlineLevel="0" collapsed="false">
      <c r="A2" s="16" t="s">
        <v>1128</v>
      </c>
      <c r="B2" s="16"/>
      <c r="C2" s="16"/>
      <c r="D2" s="16"/>
    </row>
    <row r="3" customFormat="false" ht="15" hidden="false" customHeight="true" outlineLevel="0" collapsed="false">
      <c r="A3" s="16"/>
      <c r="B3" s="16"/>
      <c r="C3" s="16"/>
      <c r="D3" s="16"/>
    </row>
    <row r="5" customFormat="false" ht="15" hidden="false" customHeight="true" outlineLevel="0" collapsed="false">
      <c r="A5" s="17" t="s">
        <v>1129</v>
      </c>
      <c r="B5" s="17" t="s">
        <v>1130</v>
      </c>
      <c r="C5" s="17" t="s">
        <v>1131</v>
      </c>
      <c r="D5" s="17" t="s">
        <v>1132</v>
      </c>
    </row>
    <row r="6" customFormat="false" ht="60" hidden="false" customHeight="true" outlineLevel="0" collapsed="false">
      <c r="A6" s="34" t="s">
        <v>1133</v>
      </c>
      <c r="B6" s="8" t="s">
        <v>1134</v>
      </c>
      <c r="C6" s="8" t="s">
        <v>1135</v>
      </c>
      <c r="D6" s="8" t="s">
        <v>1136</v>
      </c>
    </row>
    <row r="7" customFormat="false" ht="60" hidden="false" customHeight="true" outlineLevel="0" collapsed="false">
      <c r="A7" s="34" t="s">
        <v>1137</v>
      </c>
      <c r="B7" s="8" t="s">
        <v>1138</v>
      </c>
      <c r="C7" s="8" t="s">
        <v>1139</v>
      </c>
      <c r="D7" s="8" t="s">
        <v>1140</v>
      </c>
    </row>
    <row r="8" customFormat="false" ht="60" hidden="false" customHeight="true" outlineLevel="0" collapsed="false">
      <c r="A8" s="34" t="s">
        <v>1141</v>
      </c>
      <c r="B8" s="8" t="s">
        <v>1142</v>
      </c>
      <c r="C8" s="8" t="s">
        <v>1143</v>
      </c>
      <c r="D8" s="8" t="s">
        <v>1144</v>
      </c>
    </row>
    <row r="9" customFormat="false" ht="60" hidden="false" customHeight="true" outlineLevel="0" collapsed="false">
      <c r="A9" s="34" t="s">
        <v>1145</v>
      </c>
      <c r="B9" s="8" t="s">
        <v>1146</v>
      </c>
      <c r="C9" s="8" t="s">
        <v>1147</v>
      </c>
      <c r="D9" s="8" t="s">
        <v>1148</v>
      </c>
    </row>
    <row r="10" customFormat="false" ht="60" hidden="false" customHeight="true" outlineLevel="0" collapsed="false">
      <c r="A10" s="34" t="s">
        <v>1149</v>
      </c>
      <c r="B10" s="8" t="s">
        <v>1150</v>
      </c>
      <c r="C10" s="8" t="s">
        <v>1151</v>
      </c>
      <c r="D10" s="8" t="s">
        <v>1152</v>
      </c>
    </row>
    <row r="11" customFormat="false" ht="60" hidden="false" customHeight="true" outlineLevel="0" collapsed="false">
      <c r="A11" s="34" t="s">
        <v>1153</v>
      </c>
      <c r="B11" s="8" t="s">
        <v>1154</v>
      </c>
      <c r="C11" s="8" t="s">
        <v>1155</v>
      </c>
      <c r="D11" s="8" t="s">
        <v>1156</v>
      </c>
    </row>
    <row r="12" customFormat="false" ht="60" hidden="false" customHeight="true" outlineLevel="0" collapsed="false">
      <c r="A12" s="34" t="s">
        <v>1157</v>
      </c>
      <c r="B12" s="8" t="s">
        <v>1158</v>
      </c>
      <c r="C12" s="8" t="s">
        <v>1159</v>
      </c>
      <c r="D12" s="8" t="s">
        <v>1160</v>
      </c>
    </row>
    <row r="14" customFormat="false" ht="15" hidden="false" customHeight="true" outlineLevel="0" collapsed="false">
      <c r="A14" s="5" t="s">
        <v>1161</v>
      </c>
    </row>
    <row r="15" customFormat="false" ht="31.5" hidden="false" customHeight="true" outlineLevel="0" collapsed="false">
      <c r="A15" s="35" t="s">
        <v>1162</v>
      </c>
      <c r="B15" s="35"/>
      <c r="C15" s="35"/>
      <c r="D15" s="35"/>
    </row>
    <row r="16" customFormat="false" ht="31.5" hidden="false" customHeight="true" outlineLevel="0" collapsed="false">
      <c r="A16" s="35" t="s">
        <v>1163</v>
      </c>
      <c r="B16" s="35"/>
      <c r="C16" s="35"/>
      <c r="D16" s="35"/>
    </row>
    <row r="17" customFormat="false" ht="31.5" hidden="false" customHeight="true" outlineLevel="0" collapsed="false">
      <c r="A17" s="35" t="s">
        <v>1164</v>
      </c>
      <c r="B17" s="35"/>
      <c r="C17" s="35"/>
      <c r="D17" s="35"/>
    </row>
    <row r="18" customFormat="false" ht="31.5" hidden="false" customHeight="true" outlineLevel="0" collapsed="false">
      <c r="A18" s="35" t="s">
        <v>1165</v>
      </c>
      <c r="B18" s="35"/>
      <c r="C18" s="35"/>
      <c r="D18" s="35"/>
    </row>
    <row r="19" customFormat="false" ht="31.5" hidden="false" customHeight="true" outlineLevel="0" collapsed="false">
      <c r="A19" s="35" t="s">
        <v>1166</v>
      </c>
      <c r="B19" s="35"/>
      <c r="C19" s="35"/>
      <c r="D19" s="35"/>
    </row>
    <row r="20" customFormat="false" ht="31.5" hidden="false" customHeight="true" outlineLevel="0" collapsed="false">
      <c r="A20" s="35" t="s">
        <v>1167</v>
      </c>
      <c r="B20" s="35"/>
      <c r="C20" s="35"/>
      <c r="D20" s="35"/>
    </row>
  </sheetData>
  <mergeCells count="7">
    <mergeCell ref="A2:D3"/>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
    <col collapsed="false" customWidth="true" hidden="false" outlineLevel="0" max="3" min="3" style="1" width="13"/>
    <col collapsed="false" customWidth="true" hidden="false" outlineLevel="0" max="4" min="4" style="1" width="16"/>
    <col collapsed="false" customWidth="true" hidden="false" outlineLevel="0" max="5" min="5" style="1" width="13"/>
    <col collapsed="false" customWidth="true" hidden="false" outlineLevel="0" max="6" min="6" style="1" width="24"/>
    <col collapsed="false" customWidth="true" hidden="false" outlineLevel="0" max="12" min="7" style="1" width="5"/>
    <col collapsed="false" customWidth="true" hidden="false" outlineLevel="0" max="13" min="13" style="1" width="7"/>
    <col collapsed="false" customWidth="true" hidden="false" outlineLevel="0" max="14" min="14" style="1" width="6"/>
    <col collapsed="false" customWidth="true" hidden="false" outlineLevel="0" max="15" min="15" style="1" width="8"/>
    <col collapsed="false" customWidth="true" hidden="false" outlineLevel="0" max="16" min="16" style="1" width="10"/>
    <col collapsed="false" customWidth="true" hidden="false" outlineLevel="0" max="17" min="17" style="1" width="11"/>
    <col collapsed="false" customWidth="true" hidden="false" outlineLevel="0" max="18" min="18" style="1" width="90"/>
  </cols>
  <sheetData>
    <row r="1" customFormat="false" ht="51.75" hidden="false" customHeight="true" outlineLevel="0" collapsed="false">
      <c r="A1" s="17" t="s">
        <v>185</v>
      </c>
      <c r="B1" s="17" t="s">
        <v>648</v>
      </c>
      <c r="C1" s="17" t="s">
        <v>534</v>
      </c>
      <c r="D1" s="17" t="s">
        <v>535</v>
      </c>
      <c r="E1" s="17" t="s">
        <v>1168</v>
      </c>
      <c r="F1" s="17" t="s">
        <v>1169</v>
      </c>
      <c r="G1" s="17" t="s">
        <v>1170</v>
      </c>
      <c r="H1" s="17" t="s">
        <v>1171</v>
      </c>
      <c r="I1" s="17" t="s">
        <v>1172</v>
      </c>
      <c r="J1" s="17" t="s">
        <v>1173</v>
      </c>
      <c r="K1" s="17" t="s">
        <v>1174</v>
      </c>
      <c r="L1" s="17" t="s">
        <v>1175</v>
      </c>
      <c r="M1" s="17" t="s">
        <v>1176</v>
      </c>
      <c r="N1" s="17" t="s">
        <v>1177</v>
      </c>
      <c r="O1" s="17" t="s">
        <v>1178</v>
      </c>
      <c r="P1" s="17" t="s">
        <v>1179</v>
      </c>
      <c r="Q1" s="17" t="s">
        <v>1180</v>
      </c>
      <c r="R1" s="17" t="s">
        <v>1181</v>
      </c>
    </row>
    <row r="2" customFormat="false" ht="26.25" hidden="false" customHeight="true" outlineLevel="0" collapsed="false">
      <c r="A2" s="28" t="s">
        <v>32</v>
      </c>
      <c r="B2" s="28" t="n">
        <v>1</v>
      </c>
      <c r="C2" s="28" t="s">
        <v>654</v>
      </c>
      <c r="D2" s="28" t="s">
        <v>545</v>
      </c>
      <c r="E2" s="28" t="s">
        <v>1182</v>
      </c>
      <c r="F2" s="8" t="s">
        <v>1183</v>
      </c>
      <c r="G2" s="36" t="n">
        <v>2</v>
      </c>
      <c r="H2" s="36" t="n">
        <v>2</v>
      </c>
      <c r="I2" s="36" t="s">
        <v>884</v>
      </c>
      <c r="J2" s="36" t="s">
        <v>884</v>
      </c>
      <c r="K2" s="36" t="s">
        <v>884</v>
      </c>
      <c r="L2" s="36" t="n">
        <v>2</v>
      </c>
      <c r="M2" s="37" t="n">
        <f aca="false">SUM(G2:L2)</f>
        <v>6</v>
      </c>
      <c r="N2" s="37" t="n">
        <f aca="false">IF(E2="Vulnerable",12,6)</f>
        <v>6</v>
      </c>
      <c r="O2" s="38" t="n">
        <f aca="false">M2/N2</f>
        <v>1</v>
      </c>
      <c r="P2" s="37" t="s">
        <v>1184</v>
      </c>
      <c r="Q2" s="37" t="s">
        <v>1184</v>
      </c>
      <c r="R2" s="8" t="s">
        <v>1185</v>
      </c>
    </row>
    <row r="3" customFormat="false" ht="15" hidden="false" customHeight="true" outlineLevel="0" collapsed="false">
      <c r="A3" s="28" t="s">
        <v>32</v>
      </c>
      <c r="B3" s="28" t="n">
        <v>2</v>
      </c>
      <c r="C3" s="28" t="s">
        <v>655</v>
      </c>
      <c r="D3" s="28" t="s">
        <v>554</v>
      </c>
      <c r="E3" s="28" t="s">
        <v>1182</v>
      </c>
      <c r="F3" s="8" t="s">
        <v>1186</v>
      </c>
      <c r="G3" s="36" t="n">
        <v>2</v>
      </c>
      <c r="H3" s="36" t="n">
        <v>2</v>
      </c>
      <c r="I3" s="36" t="s">
        <v>884</v>
      </c>
      <c r="J3" s="36" t="s">
        <v>884</v>
      </c>
      <c r="K3" s="36" t="s">
        <v>884</v>
      </c>
      <c r="L3" s="36" t="n">
        <v>2</v>
      </c>
      <c r="M3" s="37" t="n">
        <f aca="false">SUM(G3:L3)</f>
        <v>6</v>
      </c>
      <c r="N3" s="37" t="n">
        <f aca="false">IF(E3="Vulnerable",12,6)</f>
        <v>6</v>
      </c>
      <c r="O3" s="38" t="n">
        <f aca="false">M3/N3</f>
        <v>1</v>
      </c>
      <c r="P3" s="37" t="s">
        <v>1184</v>
      </c>
      <c r="Q3" s="37" t="s">
        <v>1184</v>
      </c>
      <c r="R3" s="8" t="s">
        <v>1187</v>
      </c>
    </row>
    <row r="4" customFormat="false" ht="26.25" hidden="false" customHeight="true" outlineLevel="0" collapsed="false">
      <c r="A4" s="28" t="s">
        <v>32</v>
      </c>
      <c r="B4" s="28" t="n">
        <v>3</v>
      </c>
      <c r="C4" s="28" t="s">
        <v>656</v>
      </c>
      <c r="D4" s="28" t="s">
        <v>554</v>
      </c>
      <c r="E4" s="28" t="s">
        <v>1182</v>
      </c>
      <c r="F4" s="8" t="s">
        <v>1183</v>
      </c>
      <c r="G4" s="36" t="n">
        <v>2</v>
      </c>
      <c r="H4" s="36" t="n">
        <v>2</v>
      </c>
      <c r="I4" s="36" t="s">
        <v>884</v>
      </c>
      <c r="J4" s="36" t="s">
        <v>884</v>
      </c>
      <c r="K4" s="36" t="s">
        <v>884</v>
      </c>
      <c r="L4" s="36" t="n">
        <v>2</v>
      </c>
      <c r="M4" s="37" t="n">
        <f aca="false">SUM(G4:L4)</f>
        <v>6</v>
      </c>
      <c r="N4" s="37" t="n">
        <f aca="false">IF(E4="Vulnerable",12,6)</f>
        <v>6</v>
      </c>
      <c r="O4" s="38" t="n">
        <f aca="false">M4/N4</f>
        <v>1</v>
      </c>
      <c r="P4" s="37" t="s">
        <v>1184</v>
      </c>
      <c r="Q4" s="37" t="s">
        <v>1184</v>
      </c>
      <c r="R4" s="8" t="s">
        <v>1188</v>
      </c>
    </row>
    <row r="5" customFormat="false" ht="26.25" hidden="false" customHeight="true" outlineLevel="0" collapsed="false">
      <c r="A5" s="28" t="s">
        <v>45</v>
      </c>
      <c r="B5" s="28" t="n">
        <v>1</v>
      </c>
      <c r="C5" s="28" t="s">
        <v>657</v>
      </c>
      <c r="D5" s="28" t="s">
        <v>545</v>
      </c>
      <c r="E5" s="28" t="s">
        <v>48</v>
      </c>
      <c r="F5" s="8" t="s">
        <v>1189</v>
      </c>
      <c r="G5" s="36" t="n">
        <v>2</v>
      </c>
      <c r="H5" s="36" t="n">
        <v>2</v>
      </c>
      <c r="I5" s="36" t="n">
        <v>2</v>
      </c>
      <c r="J5" s="36" t="n">
        <v>2</v>
      </c>
      <c r="K5" s="36" t="n">
        <v>2</v>
      </c>
      <c r="L5" s="36" t="n">
        <v>2</v>
      </c>
      <c r="M5" s="37" t="n">
        <f aca="false">SUM(G5:L5)</f>
        <v>12</v>
      </c>
      <c r="N5" s="37" t="n">
        <f aca="false">IF(E5="Vulnerable",12,6)</f>
        <v>12</v>
      </c>
      <c r="O5" s="38" t="n">
        <f aca="false">M5/N5</f>
        <v>1</v>
      </c>
      <c r="P5" s="37" t="s">
        <v>1184</v>
      </c>
      <c r="Q5" s="37" t="s">
        <v>1184</v>
      </c>
      <c r="R5" s="8" t="s">
        <v>1190</v>
      </c>
    </row>
    <row r="6" customFormat="false" ht="15" hidden="false" customHeight="true" outlineLevel="0" collapsed="false">
      <c r="A6" s="28" t="s">
        <v>45</v>
      </c>
      <c r="B6" s="28" t="n">
        <v>2</v>
      </c>
      <c r="C6" s="28" t="s">
        <v>658</v>
      </c>
      <c r="D6" s="28" t="s">
        <v>554</v>
      </c>
      <c r="E6" s="28" t="s">
        <v>48</v>
      </c>
      <c r="F6" s="8" t="s">
        <v>1189</v>
      </c>
      <c r="G6" s="36" t="n">
        <v>2</v>
      </c>
      <c r="H6" s="36" t="n">
        <v>2</v>
      </c>
      <c r="I6" s="36" t="n">
        <v>2</v>
      </c>
      <c r="J6" s="36" t="n">
        <v>2</v>
      </c>
      <c r="K6" s="36" t="n">
        <v>2</v>
      </c>
      <c r="L6" s="36" t="n">
        <v>2</v>
      </c>
      <c r="M6" s="37" t="n">
        <f aca="false">SUM(G6:L6)</f>
        <v>12</v>
      </c>
      <c r="N6" s="37" t="n">
        <f aca="false">IF(E6="Vulnerable",12,6)</f>
        <v>12</v>
      </c>
      <c r="O6" s="38" t="n">
        <f aca="false">M6/N6</f>
        <v>1</v>
      </c>
      <c r="P6" s="37" t="s">
        <v>1184</v>
      </c>
      <c r="Q6" s="37" t="s">
        <v>1184</v>
      </c>
      <c r="R6" s="8" t="s">
        <v>1191</v>
      </c>
    </row>
    <row r="7" customFormat="false" ht="15" hidden="false" customHeight="true" outlineLevel="0" collapsed="false">
      <c r="A7" s="28" t="s">
        <v>45</v>
      </c>
      <c r="B7" s="28" t="n">
        <v>3</v>
      </c>
      <c r="C7" s="28" t="s">
        <v>659</v>
      </c>
      <c r="D7" s="28" t="s">
        <v>554</v>
      </c>
      <c r="E7" s="28" t="s">
        <v>48</v>
      </c>
      <c r="F7" s="8" t="s">
        <v>1189</v>
      </c>
      <c r="G7" s="36" t="n">
        <v>2</v>
      </c>
      <c r="H7" s="36" t="n">
        <v>2</v>
      </c>
      <c r="I7" s="36" t="n">
        <v>2</v>
      </c>
      <c r="J7" s="36" t="n">
        <v>2</v>
      </c>
      <c r="K7" s="36" t="n">
        <v>2</v>
      </c>
      <c r="L7" s="36" t="n">
        <v>2</v>
      </c>
      <c r="M7" s="37" t="n">
        <f aca="false">SUM(G7:L7)</f>
        <v>12</v>
      </c>
      <c r="N7" s="37" t="n">
        <f aca="false">IF(E7="Vulnerable",12,6)</f>
        <v>12</v>
      </c>
      <c r="O7" s="38" t="n">
        <f aca="false">M7/N7</f>
        <v>1</v>
      </c>
      <c r="P7" s="37" t="s">
        <v>1184</v>
      </c>
      <c r="Q7" s="37" t="s">
        <v>1184</v>
      </c>
      <c r="R7" s="8" t="s">
        <v>1191</v>
      </c>
    </row>
    <row r="8" customFormat="false" ht="26.25" hidden="false" customHeight="true" outlineLevel="0" collapsed="false">
      <c r="A8" s="28" t="s">
        <v>58</v>
      </c>
      <c r="B8" s="28" t="n">
        <v>1</v>
      </c>
      <c r="C8" s="28" t="s">
        <v>660</v>
      </c>
      <c r="D8" s="28" t="s">
        <v>545</v>
      </c>
      <c r="E8" s="28" t="s">
        <v>48</v>
      </c>
      <c r="F8" s="8" t="s">
        <v>1189</v>
      </c>
      <c r="G8" s="36" t="n">
        <v>2</v>
      </c>
      <c r="H8" s="36" t="n">
        <v>2</v>
      </c>
      <c r="I8" s="36" t="n">
        <v>2</v>
      </c>
      <c r="J8" s="36" t="n">
        <v>2</v>
      </c>
      <c r="K8" s="36" t="n">
        <v>2</v>
      </c>
      <c r="L8" s="36" t="n">
        <v>2</v>
      </c>
      <c r="M8" s="37" t="n">
        <f aca="false">SUM(G8:L8)</f>
        <v>12</v>
      </c>
      <c r="N8" s="37" t="n">
        <f aca="false">IF(E8="Vulnerable",12,6)</f>
        <v>12</v>
      </c>
      <c r="O8" s="38" t="n">
        <f aca="false">M8/N8</f>
        <v>1</v>
      </c>
      <c r="P8" s="37" t="s">
        <v>1184</v>
      </c>
      <c r="Q8" s="37" t="s">
        <v>1184</v>
      </c>
      <c r="R8" s="8" t="s">
        <v>1192</v>
      </c>
    </row>
    <row r="9" customFormat="false" ht="15" hidden="false" customHeight="true" outlineLevel="0" collapsed="false">
      <c r="A9" s="28" t="s">
        <v>58</v>
      </c>
      <c r="B9" s="28" t="n">
        <v>2</v>
      </c>
      <c r="C9" s="28" t="s">
        <v>661</v>
      </c>
      <c r="D9" s="28" t="s">
        <v>554</v>
      </c>
      <c r="E9" s="28" t="s">
        <v>48</v>
      </c>
      <c r="F9" s="8" t="s">
        <v>1189</v>
      </c>
      <c r="G9" s="36" t="n">
        <v>2</v>
      </c>
      <c r="H9" s="36" t="n">
        <v>2</v>
      </c>
      <c r="I9" s="36" t="n">
        <v>2</v>
      </c>
      <c r="J9" s="36" t="n">
        <v>2</v>
      </c>
      <c r="K9" s="36" t="n">
        <v>2</v>
      </c>
      <c r="L9" s="36" t="n">
        <v>2</v>
      </c>
      <c r="M9" s="37" t="n">
        <f aca="false">SUM(G9:L9)</f>
        <v>12</v>
      </c>
      <c r="N9" s="37" t="n">
        <f aca="false">IF(E9="Vulnerable",12,6)</f>
        <v>12</v>
      </c>
      <c r="O9" s="38" t="n">
        <f aca="false">M9/N9</f>
        <v>1</v>
      </c>
      <c r="P9" s="37" t="s">
        <v>1184</v>
      </c>
      <c r="Q9" s="37" t="s">
        <v>1184</v>
      </c>
      <c r="R9" s="8" t="s">
        <v>740</v>
      </c>
    </row>
    <row r="10" customFormat="false" ht="26.25" hidden="false" customHeight="true" outlineLevel="0" collapsed="false">
      <c r="A10" s="28" t="s">
        <v>58</v>
      </c>
      <c r="B10" s="28" t="n">
        <v>3</v>
      </c>
      <c r="C10" s="28" t="s">
        <v>662</v>
      </c>
      <c r="D10" s="28" t="s">
        <v>554</v>
      </c>
      <c r="E10" s="28" t="s">
        <v>48</v>
      </c>
      <c r="F10" s="8" t="s">
        <v>1189</v>
      </c>
      <c r="G10" s="36" t="n">
        <v>2</v>
      </c>
      <c r="H10" s="36" t="n">
        <v>2</v>
      </c>
      <c r="I10" s="36" t="n">
        <v>2</v>
      </c>
      <c r="J10" s="36" t="n">
        <v>2</v>
      </c>
      <c r="K10" s="36" t="n">
        <v>2</v>
      </c>
      <c r="L10" s="36" t="n">
        <v>1</v>
      </c>
      <c r="M10" s="37" t="n">
        <f aca="false">SUM(G10:L10)</f>
        <v>11</v>
      </c>
      <c r="N10" s="37" t="n">
        <f aca="false">IF(E10="Vulnerable",12,6)</f>
        <v>12</v>
      </c>
      <c r="O10" s="38" t="n">
        <f aca="false">M10/N10</f>
        <v>0.916666666666667</v>
      </c>
      <c r="P10" s="37" t="s">
        <v>1184</v>
      </c>
      <c r="Q10" s="37" t="s">
        <v>1193</v>
      </c>
      <c r="R10" s="8" t="s">
        <v>1194</v>
      </c>
    </row>
    <row r="11" customFormat="false" ht="26.25" hidden="false" customHeight="true" outlineLevel="0" collapsed="false">
      <c r="A11" s="28" t="s">
        <v>68</v>
      </c>
      <c r="B11" s="28" t="n">
        <v>1</v>
      </c>
      <c r="C11" s="28" t="s">
        <v>663</v>
      </c>
      <c r="D11" s="28" t="s">
        <v>545</v>
      </c>
      <c r="E11" s="28" t="s">
        <v>48</v>
      </c>
      <c r="F11" s="8" t="s">
        <v>1189</v>
      </c>
      <c r="G11" s="36" t="n">
        <v>2</v>
      </c>
      <c r="H11" s="36" t="n">
        <v>2</v>
      </c>
      <c r="I11" s="36" t="n">
        <v>1</v>
      </c>
      <c r="J11" s="36" t="n">
        <v>1</v>
      </c>
      <c r="K11" s="36" t="n">
        <v>2</v>
      </c>
      <c r="L11" s="36" t="n">
        <v>2</v>
      </c>
      <c r="M11" s="37" t="n">
        <f aca="false">SUM(G11:L11)</f>
        <v>10</v>
      </c>
      <c r="N11" s="37" t="n">
        <f aca="false">IF(E11="Vulnerable",12,6)</f>
        <v>12</v>
      </c>
      <c r="O11" s="38" t="n">
        <f aca="false">M11/N11</f>
        <v>0.833333333333333</v>
      </c>
      <c r="P11" s="37" t="s">
        <v>1184</v>
      </c>
      <c r="Q11" s="37" t="s">
        <v>1184</v>
      </c>
      <c r="R11" s="8" t="s">
        <v>1195</v>
      </c>
    </row>
    <row r="12" customFormat="false" ht="15" hidden="false" customHeight="true" outlineLevel="0" collapsed="false">
      <c r="A12" s="28" t="s">
        <v>68</v>
      </c>
      <c r="B12" s="28" t="n">
        <v>2</v>
      </c>
      <c r="C12" s="28" t="s">
        <v>664</v>
      </c>
      <c r="D12" s="28" t="s">
        <v>554</v>
      </c>
      <c r="E12" s="28" t="s">
        <v>48</v>
      </c>
      <c r="F12" s="8" t="s">
        <v>1189</v>
      </c>
      <c r="G12" s="36" t="n">
        <v>2</v>
      </c>
      <c r="H12" s="36" t="n">
        <v>2</v>
      </c>
      <c r="I12" s="36" t="n">
        <v>1</v>
      </c>
      <c r="J12" s="36" t="n">
        <v>1</v>
      </c>
      <c r="K12" s="36" t="n">
        <v>2</v>
      </c>
      <c r="L12" s="36" t="n">
        <v>2</v>
      </c>
      <c r="M12" s="37" t="n">
        <f aca="false">SUM(G12:L12)</f>
        <v>10</v>
      </c>
      <c r="N12" s="37" t="n">
        <f aca="false">IF(E12="Vulnerable",12,6)</f>
        <v>12</v>
      </c>
      <c r="O12" s="38" t="n">
        <f aca="false">M12/N12</f>
        <v>0.833333333333333</v>
      </c>
      <c r="P12" s="37" t="s">
        <v>1184</v>
      </c>
      <c r="Q12" s="37" t="s">
        <v>1184</v>
      </c>
      <c r="R12" s="8" t="s">
        <v>1196</v>
      </c>
    </row>
    <row r="13" customFormat="false" ht="15" hidden="false" customHeight="true" outlineLevel="0" collapsed="false">
      <c r="A13" s="28" t="s">
        <v>68</v>
      </c>
      <c r="B13" s="28" t="n">
        <v>3</v>
      </c>
      <c r="C13" s="28" t="s">
        <v>665</v>
      </c>
      <c r="D13" s="28" t="s">
        <v>554</v>
      </c>
      <c r="E13" s="28" t="s">
        <v>48</v>
      </c>
      <c r="F13" s="8" t="s">
        <v>1189</v>
      </c>
      <c r="G13" s="36" t="n">
        <v>2</v>
      </c>
      <c r="H13" s="36" t="n">
        <v>2</v>
      </c>
      <c r="I13" s="36" t="n">
        <v>1</v>
      </c>
      <c r="J13" s="36" t="n">
        <v>1</v>
      </c>
      <c r="K13" s="36" t="n">
        <v>2</v>
      </c>
      <c r="L13" s="36" t="n">
        <v>2</v>
      </c>
      <c r="M13" s="37" t="n">
        <f aca="false">SUM(G13:L13)</f>
        <v>10</v>
      </c>
      <c r="N13" s="37" t="n">
        <f aca="false">IF(E13="Vulnerable",12,6)</f>
        <v>12</v>
      </c>
      <c r="O13" s="38" t="n">
        <f aca="false">M13/N13</f>
        <v>0.833333333333333</v>
      </c>
      <c r="P13" s="37" t="s">
        <v>1184</v>
      </c>
      <c r="Q13" s="37" t="s">
        <v>1184</v>
      </c>
      <c r="R13" s="8" t="s">
        <v>740</v>
      </c>
    </row>
    <row r="14" customFormat="false" ht="26.25" hidden="false" customHeight="true" outlineLevel="0" collapsed="false">
      <c r="A14" s="28" t="s">
        <v>78</v>
      </c>
      <c r="B14" s="28" t="n">
        <v>1</v>
      </c>
      <c r="C14" s="28" t="s">
        <v>666</v>
      </c>
      <c r="D14" s="28" t="s">
        <v>545</v>
      </c>
      <c r="E14" s="28" t="s">
        <v>48</v>
      </c>
      <c r="F14" s="8" t="s">
        <v>1189</v>
      </c>
      <c r="G14" s="36" t="n">
        <v>2</v>
      </c>
      <c r="H14" s="36" t="n">
        <v>2</v>
      </c>
      <c r="I14" s="36" t="n">
        <v>2</v>
      </c>
      <c r="J14" s="36" t="n">
        <v>2</v>
      </c>
      <c r="K14" s="36" t="n">
        <v>2</v>
      </c>
      <c r="L14" s="36" t="n">
        <v>2</v>
      </c>
      <c r="M14" s="37" t="n">
        <f aca="false">SUM(G14:L14)</f>
        <v>12</v>
      </c>
      <c r="N14" s="37" t="n">
        <f aca="false">IF(E14="Vulnerable",12,6)</f>
        <v>12</v>
      </c>
      <c r="O14" s="38" t="n">
        <f aca="false">M14/N14</f>
        <v>1</v>
      </c>
      <c r="P14" s="37" t="s">
        <v>1184</v>
      </c>
      <c r="Q14" s="37" t="s">
        <v>1184</v>
      </c>
      <c r="R14" s="8" t="s">
        <v>1197</v>
      </c>
    </row>
    <row r="15" customFormat="false" ht="15" hidden="false" customHeight="true" outlineLevel="0" collapsed="false">
      <c r="A15" s="28" t="s">
        <v>78</v>
      </c>
      <c r="B15" s="28" t="n">
        <v>2</v>
      </c>
      <c r="C15" s="28" t="s">
        <v>667</v>
      </c>
      <c r="D15" s="28" t="s">
        <v>554</v>
      </c>
      <c r="E15" s="28" t="s">
        <v>48</v>
      </c>
      <c r="F15" s="8" t="s">
        <v>1189</v>
      </c>
      <c r="G15" s="36" t="n">
        <v>2</v>
      </c>
      <c r="H15" s="36" t="n">
        <v>2</v>
      </c>
      <c r="I15" s="36" t="n">
        <v>2</v>
      </c>
      <c r="J15" s="36" t="n">
        <v>2</v>
      </c>
      <c r="K15" s="36" t="n">
        <v>2</v>
      </c>
      <c r="L15" s="36" t="n">
        <v>2</v>
      </c>
      <c r="M15" s="37" t="n">
        <f aca="false">SUM(G15:L15)</f>
        <v>12</v>
      </c>
      <c r="N15" s="37" t="n">
        <f aca="false">IF(E15="Vulnerable",12,6)</f>
        <v>12</v>
      </c>
      <c r="O15" s="38" t="n">
        <f aca="false">M15/N15</f>
        <v>1</v>
      </c>
      <c r="P15" s="37" t="s">
        <v>1184</v>
      </c>
      <c r="Q15" s="37" t="s">
        <v>1184</v>
      </c>
      <c r="R15" s="8" t="s">
        <v>740</v>
      </c>
    </row>
    <row r="16" customFormat="false" ht="15" hidden="false" customHeight="true" outlineLevel="0" collapsed="false">
      <c r="A16" s="28" t="s">
        <v>78</v>
      </c>
      <c r="B16" s="28" t="n">
        <v>3</v>
      </c>
      <c r="C16" s="28" t="s">
        <v>668</v>
      </c>
      <c r="D16" s="28" t="s">
        <v>554</v>
      </c>
      <c r="E16" s="28" t="s">
        <v>48</v>
      </c>
      <c r="F16" s="8" t="s">
        <v>1189</v>
      </c>
      <c r="G16" s="36" t="n">
        <v>2</v>
      </c>
      <c r="H16" s="36" t="n">
        <v>2</v>
      </c>
      <c r="I16" s="36" t="n">
        <v>2</v>
      </c>
      <c r="J16" s="36" t="n">
        <v>2</v>
      </c>
      <c r="K16" s="36" t="n">
        <v>2</v>
      </c>
      <c r="L16" s="36" t="n">
        <v>2</v>
      </c>
      <c r="M16" s="37" t="n">
        <f aca="false">SUM(G16:L16)</f>
        <v>12</v>
      </c>
      <c r="N16" s="37" t="n">
        <f aca="false">IF(E16="Vulnerable",12,6)</f>
        <v>12</v>
      </c>
      <c r="O16" s="38" t="n">
        <f aca="false">M16/N16</f>
        <v>1</v>
      </c>
      <c r="P16" s="37" t="s">
        <v>1184</v>
      </c>
      <c r="Q16" s="37" t="s">
        <v>1184</v>
      </c>
      <c r="R16" s="8" t="s">
        <v>1198</v>
      </c>
    </row>
    <row r="17" customFormat="false" ht="26.25" hidden="false" customHeight="true" outlineLevel="0" collapsed="false">
      <c r="A17" s="28" t="s">
        <v>87</v>
      </c>
      <c r="B17" s="28" t="n">
        <v>1</v>
      </c>
      <c r="C17" s="28" t="s">
        <v>669</v>
      </c>
      <c r="D17" s="28" t="s">
        <v>545</v>
      </c>
      <c r="E17" s="28" t="s">
        <v>48</v>
      </c>
      <c r="F17" s="8" t="s">
        <v>1189</v>
      </c>
      <c r="G17" s="36" t="n">
        <v>2</v>
      </c>
      <c r="H17" s="36" t="n">
        <v>2</v>
      </c>
      <c r="I17" s="36" t="n">
        <v>2</v>
      </c>
      <c r="J17" s="36" t="n">
        <v>2</v>
      </c>
      <c r="K17" s="36" t="n">
        <v>2</v>
      </c>
      <c r="L17" s="36" t="n">
        <v>2</v>
      </c>
      <c r="M17" s="37" t="n">
        <f aca="false">SUM(G17:L17)</f>
        <v>12</v>
      </c>
      <c r="N17" s="37" t="n">
        <f aca="false">IF(E17="Vulnerable",12,6)</f>
        <v>12</v>
      </c>
      <c r="O17" s="38" t="n">
        <f aca="false">M17/N17</f>
        <v>1</v>
      </c>
      <c r="P17" s="37" t="s">
        <v>1184</v>
      </c>
      <c r="Q17" s="37" t="s">
        <v>1184</v>
      </c>
      <c r="R17" s="8" t="s">
        <v>1199</v>
      </c>
    </row>
    <row r="18" customFormat="false" ht="15" hidden="false" customHeight="true" outlineLevel="0" collapsed="false">
      <c r="A18" s="28" t="s">
        <v>87</v>
      </c>
      <c r="B18" s="28" t="n">
        <v>2</v>
      </c>
      <c r="C18" s="28" t="s">
        <v>670</v>
      </c>
      <c r="D18" s="28" t="s">
        <v>554</v>
      </c>
      <c r="E18" s="28" t="s">
        <v>48</v>
      </c>
      <c r="F18" s="8" t="s">
        <v>1189</v>
      </c>
      <c r="G18" s="36" t="n">
        <v>2</v>
      </c>
      <c r="H18" s="36" t="n">
        <v>2</v>
      </c>
      <c r="I18" s="36" t="n">
        <v>2</v>
      </c>
      <c r="J18" s="36" t="n">
        <v>2</v>
      </c>
      <c r="K18" s="36" t="n">
        <v>2</v>
      </c>
      <c r="L18" s="36" t="n">
        <v>2</v>
      </c>
      <c r="M18" s="37" t="n">
        <f aca="false">SUM(G18:L18)</f>
        <v>12</v>
      </c>
      <c r="N18" s="37" t="n">
        <f aca="false">IF(E18="Vulnerable",12,6)</f>
        <v>12</v>
      </c>
      <c r="O18" s="38" t="n">
        <f aca="false">M18/N18</f>
        <v>1</v>
      </c>
      <c r="P18" s="37" t="s">
        <v>1184</v>
      </c>
      <c r="Q18" s="37" t="s">
        <v>1184</v>
      </c>
      <c r="R18" s="8" t="s">
        <v>740</v>
      </c>
    </row>
    <row r="19" customFormat="false" ht="15" hidden="false" customHeight="true" outlineLevel="0" collapsed="false">
      <c r="A19" s="28" t="s">
        <v>87</v>
      </c>
      <c r="B19" s="28" t="n">
        <v>3</v>
      </c>
      <c r="C19" s="28" t="s">
        <v>671</v>
      </c>
      <c r="D19" s="28" t="s">
        <v>554</v>
      </c>
      <c r="E19" s="28" t="s">
        <v>48</v>
      </c>
      <c r="F19" s="8" t="s">
        <v>1189</v>
      </c>
      <c r="G19" s="36" t="n">
        <v>2</v>
      </c>
      <c r="H19" s="36" t="n">
        <v>2</v>
      </c>
      <c r="I19" s="36" t="n">
        <v>2</v>
      </c>
      <c r="J19" s="36" t="n">
        <v>2</v>
      </c>
      <c r="K19" s="36" t="n">
        <v>2</v>
      </c>
      <c r="L19" s="36" t="n">
        <v>2</v>
      </c>
      <c r="M19" s="37" t="n">
        <f aca="false">SUM(G19:L19)</f>
        <v>12</v>
      </c>
      <c r="N19" s="37" t="n">
        <f aca="false">IF(E19="Vulnerable",12,6)</f>
        <v>12</v>
      </c>
      <c r="O19" s="38" t="n">
        <f aca="false">M19/N19</f>
        <v>1</v>
      </c>
      <c r="P19" s="37" t="s">
        <v>1184</v>
      </c>
      <c r="Q19" s="37" t="s">
        <v>1184</v>
      </c>
      <c r="R19" s="8" t="s">
        <v>740</v>
      </c>
    </row>
    <row r="20" customFormat="false" ht="39" hidden="false" customHeight="true" outlineLevel="0" collapsed="false">
      <c r="A20" s="28" t="s">
        <v>96</v>
      </c>
      <c r="B20" s="28" t="n">
        <v>1</v>
      </c>
      <c r="C20" s="28" t="s">
        <v>672</v>
      </c>
      <c r="D20" s="28" t="s">
        <v>545</v>
      </c>
      <c r="E20" s="28" t="s">
        <v>48</v>
      </c>
      <c r="F20" s="8" t="s">
        <v>1189</v>
      </c>
      <c r="G20" s="36" t="n">
        <v>2</v>
      </c>
      <c r="H20" s="36" t="n">
        <v>1</v>
      </c>
      <c r="I20" s="36" t="n">
        <v>2</v>
      </c>
      <c r="J20" s="36" t="n">
        <v>2</v>
      </c>
      <c r="K20" s="36" t="n">
        <v>2</v>
      </c>
      <c r="L20" s="36" t="n">
        <v>2</v>
      </c>
      <c r="M20" s="37" t="n">
        <f aca="false">SUM(G20:L20)</f>
        <v>11</v>
      </c>
      <c r="N20" s="37" t="n">
        <f aca="false">IF(E20="Vulnerable",12,6)</f>
        <v>12</v>
      </c>
      <c r="O20" s="38" t="n">
        <f aca="false">M20/N20</f>
        <v>0.916666666666667</v>
      </c>
      <c r="P20" s="37" t="s">
        <v>1193</v>
      </c>
      <c r="Q20" s="37" t="s">
        <v>1184</v>
      </c>
      <c r="R20" s="8" t="s">
        <v>1200</v>
      </c>
    </row>
    <row r="21" customFormat="false" ht="15" hidden="false" customHeight="true" outlineLevel="0" collapsed="false">
      <c r="A21" s="28" t="s">
        <v>96</v>
      </c>
      <c r="B21" s="28" t="n">
        <v>2</v>
      </c>
      <c r="C21" s="28" t="s">
        <v>673</v>
      </c>
      <c r="D21" s="28" t="s">
        <v>554</v>
      </c>
      <c r="E21" s="28" t="s">
        <v>48</v>
      </c>
      <c r="F21" s="8" t="s">
        <v>1189</v>
      </c>
      <c r="G21" s="36" t="n">
        <v>2</v>
      </c>
      <c r="H21" s="36" t="n">
        <v>1</v>
      </c>
      <c r="I21" s="36" t="n">
        <v>2</v>
      </c>
      <c r="J21" s="36" t="n">
        <v>2</v>
      </c>
      <c r="K21" s="36" t="n">
        <v>2</v>
      </c>
      <c r="L21" s="36" t="n">
        <v>2</v>
      </c>
      <c r="M21" s="37" t="n">
        <f aca="false">SUM(G21:L21)</f>
        <v>11</v>
      </c>
      <c r="N21" s="37" t="n">
        <f aca="false">IF(E21="Vulnerable",12,6)</f>
        <v>12</v>
      </c>
      <c r="O21" s="38" t="n">
        <f aca="false">M21/N21</f>
        <v>0.916666666666667</v>
      </c>
      <c r="P21" s="37" t="s">
        <v>1193</v>
      </c>
      <c r="Q21" s="37" t="s">
        <v>1184</v>
      </c>
      <c r="R21" s="8" t="s">
        <v>1201</v>
      </c>
    </row>
    <row r="22" customFormat="false" ht="15" hidden="false" customHeight="true" outlineLevel="0" collapsed="false">
      <c r="A22" s="28" t="s">
        <v>96</v>
      </c>
      <c r="B22" s="28" t="n">
        <v>3</v>
      </c>
      <c r="C22" s="28" t="s">
        <v>674</v>
      </c>
      <c r="D22" s="28" t="s">
        <v>554</v>
      </c>
      <c r="E22" s="28" t="s">
        <v>48</v>
      </c>
      <c r="F22" s="8" t="s">
        <v>1189</v>
      </c>
      <c r="G22" s="36" t="n">
        <v>2</v>
      </c>
      <c r="H22" s="36" t="n">
        <v>1</v>
      </c>
      <c r="I22" s="36" t="n">
        <v>2</v>
      </c>
      <c r="J22" s="36" t="n">
        <v>2</v>
      </c>
      <c r="K22" s="36" t="n">
        <v>2</v>
      </c>
      <c r="L22" s="36" t="n">
        <v>2</v>
      </c>
      <c r="M22" s="37" t="n">
        <f aca="false">SUM(G22:L22)</f>
        <v>11</v>
      </c>
      <c r="N22" s="37" t="n">
        <f aca="false">IF(E22="Vulnerable",12,6)</f>
        <v>12</v>
      </c>
      <c r="O22" s="38" t="n">
        <f aca="false">M22/N22</f>
        <v>0.916666666666667</v>
      </c>
      <c r="P22" s="37" t="s">
        <v>1193</v>
      </c>
      <c r="Q22" s="37" t="s">
        <v>1184</v>
      </c>
      <c r="R22" s="8" t="s">
        <v>1201</v>
      </c>
    </row>
    <row r="23" customFormat="false" ht="39" hidden="false" customHeight="true" outlineLevel="0" collapsed="false">
      <c r="A23" s="28" t="s">
        <v>106</v>
      </c>
      <c r="B23" s="28" t="n">
        <v>1</v>
      </c>
      <c r="C23" s="28" t="s">
        <v>675</v>
      </c>
      <c r="D23" s="28" t="s">
        <v>545</v>
      </c>
      <c r="E23" s="28" t="s">
        <v>48</v>
      </c>
      <c r="F23" s="8" t="s">
        <v>1202</v>
      </c>
      <c r="G23" s="36" t="n">
        <v>0</v>
      </c>
      <c r="H23" s="36" t="n">
        <v>1</v>
      </c>
      <c r="I23" s="36" t="n">
        <v>1</v>
      </c>
      <c r="J23" s="36" t="n">
        <v>2</v>
      </c>
      <c r="K23" s="36" t="n">
        <v>1</v>
      </c>
      <c r="L23" s="36" t="n">
        <v>0</v>
      </c>
      <c r="M23" s="37" t="n">
        <f aca="false">SUM(G23:L23)</f>
        <v>5</v>
      </c>
      <c r="N23" s="37" t="n">
        <f aca="false">IF(E23="Vulnerable",12,6)</f>
        <v>12</v>
      </c>
      <c r="O23" s="38" t="n">
        <f aca="false">M23/N23</f>
        <v>0.416666666666667</v>
      </c>
      <c r="P23" s="37" t="s">
        <v>1184</v>
      </c>
      <c r="Q23" s="37" t="s">
        <v>1184</v>
      </c>
      <c r="R23" s="8" t="s">
        <v>1203</v>
      </c>
    </row>
    <row r="24" customFormat="false" ht="26.25" hidden="false" customHeight="true" outlineLevel="0" collapsed="false">
      <c r="A24" s="28" t="s">
        <v>106</v>
      </c>
      <c r="B24" s="28" t="n">
        <v>2</v>
      </c>
      <c r="C24" s="28" t="s">
        <v>676</v>
      </c>
      <c r="D24" s="28" t="s">
        <v>554</v>
      </c>
      <c r="E24" s="28" t="s">
        <v>48</v>
      </c>
      <c r="F24" s="8" t="s">
        <v>1204</v>
      </c>
      <c r="G24" s="36" t="n">
        <v>1</v>
      </c>
      <c r="H24" s="36" t="n">
        <v>2</v>
      </c>
      <c r="I24" s="36" t="n">
        <v>2</v>
      </c>
      <c r="J24" s="36" t="n">
        <v>2</v>
      </c>
      <c r="K24" s="36" t="n">
        <v>2</v>
      </c>
      <c r="L24" s="36" t="n">
        <v>0</v>
      </c>
      <c r="M24" s="37" t="n">
        <f aca="false">SUM(G24:L24)</f>
        <v>9</v>
      </c>
      <c r="N24" s="37" t="n">
        <f aca="false">IF(E24="Vulnerable",12,6)</f>
        <v>12</v>
      </c>
      <c r="O24" s="38" t="n">
        <f aca="false">M24/N24</f>
        <v>0.75</v>
      </c>
      <c r="P24" s="37" t="s">
        <v>1184</v>
      </c>
      <c r="Q24" s="37" t="s">
        <v>1184</v>
      </c>
      <c r="R24" s="8" t="s">
        <v>1205</v>
      </c>
    </row>
    <row r="25" customFormat="false" ht="15" hidden="false" customHeight="true" outlineLevel="0" collapsed="false">
      <c r="A25" s="28" t="s">
        <v>106</v>
      </c>
      <c r="B25" s="28" t="n">
        <v>3</v>
      </c>
      <c r="C25" s="28" t="s">
        <v>677</v>
      </c>
      <c r="D25" s="28" t="s">
        <v>554</v>
      </c>
      <c r="E25" s="28" t="s">
        <v>48</v>
      </c>
      <c r="F25" s="8" t="s">
        <v>1204</v>
      </c>
      <c r="G25" s="36" t="n">
        <v>1</v>
      </c>
      <c r="H25" s="36" t="n">
        <v>2</v>
      </c>
      <c r="I25" s="36" t="n">
        <v>2</v>
      </c>
      <c r="J25" s="36" t="n">
        <v>2</v>
      </c>
      <c r="K25" s="36" t="n">
        <v>2</v>
      </c>
      <c r="L25" s="36" t="n">
        <v>0</v>
      </c>
      <c r="M25" s="37" t="n">
        <f aca="false">SUM(G25:L25)</f>
        <v>9</v>
      </c>
      <c r="N25" s="37" t="n">
        <f aca="false">IF(E25="Vulnerable",12,6)</f>
        <v>12</v>
      </c>
      <c r="O25" s="38" t="n">
        <f aca="false">M25/N25</f>
        <v>0.75</v>
      </c>
      <c r="P25" s="37" t="s">
        <v>1184</v>
      </c>
      <c r="Q25" s="37" t="s">
        <v>1184</v>
      </c>
      <c r="R25" s="8" t="s">
        <v>1206</v>
      </c>
    </row>
    <row r="26" customFormat="false" ht="26.25" hidden="false" customHeight="true" outlineLevel="0" collapsed="false">
      <c r="A26" s="28" t="s">
        <v>106</v>
      </c>
      <c r="B26" s="28" t="n">
        <v>4</v>
      </c>
      <c r="C26" s="28" t="s">
        <v>678</v>
      </c>
      <c r="D26" s="28" t="s">
        <v>554</v>
      </c>
      <c r="E26" s="28" t="s">
        <v>48</v>
      </c>
      <c r="F26" s="8" t="s">
        <v>1189</v>
      </c>
      <c r="G26" s="36" t="n">
        <v>2</v>
      </c>
      <c r="H26" s="36" t="n">
        <v>2</v>
      </c>
      <c r="I26" s="36" t="n">
        <v>2</v>
      </c>
      <c r="J26" s="36" t="n">
        <v>2</v>
      </c>
      <c r="K26" s="36" t="n">
        <v>2</v>
      </c>
      <c r="L26" s="36" t="n">
        <v>2</v>
      </c>
      <c r="M26" s="37" t="n">
        <f aca="false">SUM(G26:L26)</f>
        <v>12</v>
      </c>
      <c r="N26" s="37" t="n">
        <f aca="false">IF(E26="Vulnerable",12,6)</f>
        <v>12</v>
      </c>
      <c r="O26" s="38" t="n">
        <f aca="false">M26/N26</f>
        <v>1</v>
      </c>
      <c r="P26" s="37" t="s">
        <v>1184</v>
      </c>
      <c r="Q26" s="37" t="s">
        <v>1184</v>
      </c>
      <c r="R26" s="8" t="s">
        <v>1207</v>
      </c>
    </row>
    <row r="27" customFormat="false" ht="51.75" hidden="false" customHeight="true" outlineLevel="0" collapsed="false">
      <c r="A27" s="28" t="s">
        <v>115</v>
      </c>
      <c r="B27" s="28" t="n">
        <v>1</v>
      </c>
      <c r="C27" s="28" t="s">
        <v>679</v>
      </c>
      <c r="D27" s="28" t="s">
        <v>545</v>
      </c>
      <c r="E27" s="28" t="s">
        <v>48</v>
      </c>
      <c r="F27" s="8" t="s">
        <v>1189</v>
      </c>
      <c r="G27" s="36" t="n">
        <v>2</v>
      </c>
      <c r="H27" s="36" t="n">
        <v>2</v>
      </c>
      <c r="I27" s="36" t="n">
        <v>2</v>
      </c>
      <c r="J27" s="36" t="n">
        <v>2</v>
      </c>
      <c r="K27" s="36" t="n">
        <v>2</v>
      </c>
      <c r="L27" s="36" t="n">
        <v>2</v>
      </c>
      <c r="M27" s="37" t="n">
        <f aca="false">SUM(G27:L27)</f>
        <v>12</v>
      </c>
      <c r="N27" s="37" t="n">
        <f aca="false">IF(E27="Vulnerable",12,6)</f>
        <v>12</v>
      </c>
      <c r="O27" s="38" t="n">
        <f aca="false">M27/N27</f>
        <v>1</v>
      </c>
      <c r="P27" s="37" t="s">
        <v>1184</v>
      </c>
      <c r="Q27" s="37" t="s">
        <v>1184</v>
      </c>
      <c r="R27" s="8" t="s">
        <v>1208</v>
      </c>
    </row>
    <row r="28" customFormat="false" ht="39" hidden="false" customHeight="true" outlineLevel="0" collapsed="false">
      <c r="A28" s="28" t="s">
        <v>115</v>
      </c>
      <c r="B28" s="28" t="n">
        <v>2</v>
      </c>
      <c r="C28" s="28" t="s">
        <v>680</v>
      </c>
      <c r="D28" s="28" t="s">
        <v>554</v>
      </c>
      <c r="E28" s="28" t="s">
        <v>48</v>
      </c>
      <c r="F28" s="8" t="s">
        <v>1189</v>
      </c>
      <c r="G28" s="36" t="n">
        <v>2</v>
      </c>
      <c r="H28" s="36" t="n">
        <v>1</v>
      </c>
      <c r="I28" s="36" t="n">
        <v>2</v>
      </c>
      <c r="J28" s="36" t="n">
        <v>2</v>
      </c>
      <c r="K28" s="36" t="n">
        <v>2</v>
      </c>
      <c r="L28" s="36" t="n">
        <v>2</v>
      </c>
      <c r="M28" s="37" t="n">
        <f aca="false">SUM(G28:L28)</f>
        <v>11</v>
      </c>
      <c r="N28" s="37" t="n">
        <f aca="false">IF(E28="Vulnerable",12,6)</f>
        <v>12</v>
      </c>
      <c r="O28" s="38" t="n">
        <f aca="false">M28/N28</f>
        <v>0.916666666666667</v>
      </c>
      <c r="P28" s="37" t="s">
        <v>1193</v>
      </c>
      <c r="Q28" s="37" t="s">
        <v>1184</v>
      </c>
      <c r="R28" s="8" t="s">
        <v>1209</v>
      </c>
    </row>
    <row r="29" customFormat="false" ht="26.25" hidden="false" customHeight="true" outlineLevel="0" collapsed="false">
      <c r="A29" s="28" t="s">
        <v>115</v>
      </c>
      <c r="B29" s="28" t="n">
        <v>3</v>
      </c>
      <c r="C29" s="28" t="s">
        <v>681</v>
      </c>
      <c r="D29" s="28" t="s">
        <v>554</v>
      </c>
      <c r="E29" s="28" t="s">
        <v>48</v>
      </c>
      <c r="F29" s="8" t="s">
        <v>1189</v>
      </c>
      <c r="G29" s="36" t="n">
        <v>2</v>
      </c>
      <c r="H29" s="36" t="n">
        <v>1</v>
      </c>
      <c r="I29" s="36" t="n">
        <v>2</v>
      </c>
      <c r="J29" s="36" t="n">
        <v>2</v>
      </c>
      <c r="K29" s="36" t="n">
        <v>2</v>
      </c>
      <c r="L29" s="36" t="n">
        <v>2</v>
      </c>
      <c r="M29" s="37" t="n">
        <f aca="false">SUM(G29:L29)</f>
        <v>11</v>
      </c>
      <c r="N29" s="37" t="n">
        <f aca="false">IF(E29="Vulnerable",12,6)</f>
        <v>12</v>
      </c>
      <c r="O29" s="38" t="n">
        <f aca="false">M29/N29</f>
        <v>0.916666666666667</v>
      </c>
      <c r="P29" s="37" t="s">
        <v>1193</v>
      </c>
      <c r="Q29" s="37" t="s">
        <v>1184</v>
      </c>
      <c r="R29" s="8" t="s">
        <v>1210</v>
      </c>
    </row>
    <row r="30" customFormat="false" ht="39" hidden="false" customHeight="true" outlineLevel="0" collapsed="false">
      <c r="A30" s="28" t="s">
        <v>123</v>
      </c>
      <c r="B30" s="28" t="n">
        <v>1</v>
      </c>
      <c r="C30" s="28" t="s">
        <v>682</v>
      </c>
      <c r="D30" s="28" t="s">
        <v>545</v>
      </c>
      <c r="E30" s="28" t="s">
        <v>48</v>
      </c>
      <c r="F30" s="8" t="s">
        <v>1189</v>
      </c>
      <c r="G30" s="36" t="n">
        <v>2</v>
      </c>
      <c r="H30" s="36" t="n">
        <v>1</v>
      </c>
      <c r="I30" s="36" t="n">
        <v>2</v>
      </c>
      <c r="J30" s="36" t="n">
        <v>1</v>
      </c>
      <c r="K30" s="36" t="n">
        <v>2</v>
      </c>
      <c r="L30" s="36" t="n">
        <v>1</v>
      </c>
      <c r="M30" s="37" t="n">
        <f aca="false">SUM(G30:L30)</f>
        <v>9</v>
      </c>
      <c r="N30" s="37" t="n">
        <f aca="false">IF(E30="Vulnerable",12,6)</f>
        <v>12</v>
      </c>
      <c r="O30" s="38" t="n">
        <f aca="false">M30/N30</f>
        <v>0.75</v>
      </c>
      <c r="P30" s="37" t="s">
        <v>1184</v>
      </c>
      <c r="Q30" s="37" t="s">
        <v>1193</v>
      </c>
      <c r="R30" s="8" t="s">
        <v>1211</v>
      </c>
    </row>
    <row r="31" customFormat="false" ht="15" hidden="false" customHeight="true" outlineLevel="0" collapsed="false">
      <c r="A31" s="28" t="s">
        <v>123</v>
      </c>
      <c r="B31" s="28" t="n">
        <v>2</v>
      </c>
      <c r="C31" s="28" t="s">
        <v>683</v>
      </c>
      <c r="D31" s="28" t="s">
        <v>554</v>
      </c>
      <c r="E31" s="28" t="s">
        <v>48</v>
      </c>
      <c r="F31" s="8" t="s">
        <v>1189</v>
      </c>
      <c r="G31" s="36" t="n">
        <v>2</v>
      </c>
      <c r="H31" s="36" t="n">
        <v>1</v>
      </c>
      <c r="I31" s="36" t="n">
        <v>2</v>
      </c>
      <c r="J31" s="36" t="n">
        <v>2</v>
      </c>
      <c r="K31" s="36" t="n">
        <v>2</v>
      </c>
      <c r="L31" s="36" t="n">
        <v>2</v>
      </c>
      <c r="M31" s="37" t="n">
        <f aca="false">SUM(G31:L31)</f>
        <v>11</v>
      </c>
      <c r="N31" s="37" t="n">
        <f aca="false">IF(E31="Vulnerable",12,6)</f>
        <v>12</v>
      </c>
      <c r="O31" s="38" t="n">
        <f aca="false">M31/N31</f>
        <v>0.916666666666667</v>
      </c>
      <c r="P31" s="37" t="s">
        <v>1193</v>
      </c>
      <c r="Q31" s="37" t="s">
        <v>1184</v>
      </c>
      <c r="R31" s="8" t="s">
        <v>1212</v>
      </c>
    </row>
    <row r="32" customFormat="false" ht="26.25" hidden="false" customHeight="true" outlineLevel="0" collapsed="false">
      <c r="A32" s="28" t="s">
        <v>123</v>
      </c>
      <c r="B32" s="28" t="n">
        <v>3</v>
      </c>
      <c r="C32" s="28" t="s">
        <v>684</v>
      </c>
      <c r="D32" s="28" t="s">
        <v>554</v>
      </c>
      <c r="E32" s="28" t="s">
        <v>48</v>
      </c>
      <c r="F32" s="8" t="s">
        <v>1189</v>
      </c>
      <c r="G32" s="36" t="n">
        <v>2</v>
      </c>
      <c r="H32" s="36" t="n">
        <v>1</v>
      </c>
      <c r="I32" s="36" t="n">
        <v>2</v>
      </c>
      <c r="J32" s="36" t="n">
        <v>2</v>
      </c>
      <c r="K32" s="36" t="n">
        <v>2</v>
      </c>
      <c r="L32" s="36" t="n">
        <v>1</v>
      </c>
      <c r="M32" s="37" t="n">
        <f aca="false">SUM(G32:L32)</f>
        <v>10</v>
      </c>
      <c r="N32" s="37" t="n">
        <f aca="false">IF(E32="Vulnerable",12,6)</f>
        <v>12</v>
      </c>
      <c r="O32" s="38" t="n">
        <f aca="false">M32/N32</f>
        <v>0.833333333333333</v>
      </c>
      <c r="P32" s="37" t="s">
        <v>1193</v>
      </c>
      <c r="Q32" s="37" t="s">
        <v>1193</v>
      </c>
      <c r="R32" s="8" t="s">
        <v>1213</v>
      </c>
    </row>
    <row r="33" customFormat="false" ht="39" hidden="false" customHeight="true" outlineLevel="0" collapsed="false">
      <c r="A33" s="28" t="s">
        <v>132</v>
      </c>
      <c r="B33" s="28" t="n">
        <v>1</v>
      </c>
      <c r="C33" s="28" t="s">
        <v>685</v>
      </c>
      <c r="D33" s="28" t="s">
        <v>545</v>
      </c>
      <c r="E33" s="28" t="s">
        <v>48</v>
      </c>
      <c r="F33" s="8" t="s">
        <v>1189</v>
      </c>
      <c r="G33" s="36" t="n">
        <v>2</v>
      </c>
      <c r="H33" s="36" t="n">
        <v>1</v>
      </c>
      <c r="I33" s="36" t="n">
        <v>2</v>
      </c>
      <c r="J33" s="36" t="n">
        <v>2</v>
      </c>
      <c r="K33" s="36" t="n">
        <v>2</v>
      </c>
      <c r="L33" s="36" t="n">
        <v>2</v>
      </c>
      <c r="M33" s="37" t="n">
        <f aca="false">SUM(G33:L33)</f>
        <v>11</v>
      </c>
      <c r="N33" s="37" t="n">
        <f aca="false">IF(E33="Vulnerable",12,6)</f>
        <v>12</v>
      </c>
      <c r="O33" s="38" t="n">
        <f aca="false">M33/N33</f>
        <v>0.916666666666667</v>
      </c>
      <c r="P33" s="37" t="s">
        <v>1193</v>
      </c>
      <c r="Q33" s="37" t="s">
        <v>1184</v>
      </c>
      <c r="R33" s="8" t="s">
        <v>1214</v>
      </c>
    </row>
    <row r="34" customFormat="false" ht="15" hidden="false" customHeight="true" outlineLevel="0" collapsed="false">
      <c r="A34" s="28" t="s">
        <v>132</v>
      </c>
      <c r="B34" s="28" t="n">
        <v>2</v>
      </c>
      <c r="C34" s="28" t="s">
        <v>686</v>
      </c>
      <c r="D34" s="28" t="s">
        <v>554</v>
      </c>
      <c r="E34" s="28" t="s">
        <v>48</v>
      </c>
      <c r="F34" s="8" t="s">
        <v>1189</v>
      </c>
      <c r="G34" s="36" t="n">
        <v>2</v>
      </c>
      <c r="H34" s="36" t="n">
        <v>1</v>
      </c>
      <c r="I34" s="36" t="n">
        <v>2</v>
      </c>
      <c r="J34" s="36" t="n">
        <v>2</v>
      </c>
      <c r="K34" s="36" t="n">
        <v>2</v>
      </c>
      <c r="L34" s="36" t="n">
        <v>2</v>
      </c>
      <c r="M34" s="37" t="n">
        <f aca="false">SUM(G34:L34)</f>
        <v>11</v>
      </c>
      <c r="N34" s="37" t="n">
        <f aca="false">IF(E34="Vulnerable",12,6)</f>
        <v>12</v>
      </c>
      <c r="O34" s="38" t="n">
        <f aca="false">M34/N34</f>
        <v>0.916666666666667</v>
      </c>
      <c r="P34" s="37" t="s">
        <v>1193</v>
      </c>
      <c r="Q34" s="37" t="s">
        <v>1184</v>
      </c>
      <c r="R34" s="8" t="s">
        <v>1215</v>
      </c>
    </row>
    <row r="35" customFormat="false" ht="15" hidden="false" customHeight="true" outlineLevel="0" collapsed="false">
      <c r="A35" s="28" t="s">
        <v>132</v>
      </c>
      <c r="B35" s="28" t="n">
        <v>3</v>
      </c>
      <c r="C35" s="28" t="s">
        <v>687</v>
      </c>
      <c r="D35" s="28" t="s">
        <v>554</v>
      </c>
      <c r="E35" s="28" t="s">
        <v>48</v>
      </c>
      <c r="F35" s="8" t="s">
        <v>1189</v>
      </c>
      <c r="G35" s="36" t="n">
        <v>2</v>
      </c>
      <c r="H35" s="36" t="n">
        <v>2</v>
      </c>
      <c r="I35" s="36" t="n">
        <v>2</v>
      </c>
      <c r="J35" s="36" t="n">
        <v>2</v>
      </c>
      <c r="K35" s="36" t="n">
        <v>2</v>
      </c>
      <c r="L35" s="36" t="n">
        <v>2</v>
      </c>
      <c r="M35" s="37" t="n">
        <f aca="false">SUM(G35:L35)</f>
        <v>12</v>
      </c>
      <c r="N35" s="37" t="n">
        <f aca="false">IF(E35="Vulnerable",12,6)</f>
        <v>12</v>
      </c>
      <c r="O35" s="38" t="n">
        <f aca="false">M35/N35</f>
        <v>1</v>
      </c>
      <c r="P35" s="37" t="s">
        <v>1184</v>
      </c>
      <c r="Q35" s="37" t="s">
        <v>1184</v>
      </c>
      <c r="R35" s="8" t="s">
        <v>1216</v>
      </c>
    </row>
    <row r="36" customFormat="false" ht="26.25" hidden="false" customHeight="true" outlineLevel="0" collapsed="false">
      <c r="A36" s="28" t="s">
        <v>139</v>
      </c>
      <c r="B36" s="28" t="n">
        <v>1</v>
      </c>
      <c r="C36" s="28" t="s">
        <v>688</v>
      </c>
      <c r="D36" s="28" t="s">
        <v>545</v>
      </c>
      <c r="E36" s="28" t="s">
        <v>1182</v>
      </c>
      <c r="F36" s="8" t="s">
        <v>1217</v>
      </c>
      <c r="G36" s="36" t="n">
        <v>0</v>
      </c>
      <c r="H36" s="36" t="n">
        <v>1</v>
      </c>
      <c r="I36" s="36" t="s">
        <v>884</v>
      </c>
      <c r="J36" s="36" t="s">
        <v>884</v>
      </c>
      <c r="K36" s="36" t="s">
        <v>884</v>
      </c>
      <c r="L36" s="36" t="n">
        <v>0</v>
      </c>
      <c r="M36" s="37" t="n">
        <f aca="false">SUM(G36:L36)</f>
        <v>1</v>
      </c>
      <c r="N36" s="37" t="n">
        <f aca="false">IF(E36="Vulnerable",12,6)</f>
        <v>6</v>
      </c>
      <c r="O36" s="38" t="n">
        <f aca="false">M36/N36</f>
        <v>0.166666666666667</v>
      </c>
      <c r="P36" s="37" t="s">
        <v>1184</v>
      </c>
      <c r="Q36" s="37" t="s">
        <v>1193</v>
      </c>
      <c r="R36" s="8" t="s">
        <v>1218</v>
      </c>
    </row>
    <row r="37" customFormat="false" ht="26.25" hidden="false" customHeight="true" outlineLevel="0" collapsed="false">
      <c r="A37" s="28" t="s">
        <v>139</v>
      </c>
      <c r="B37" s="28" t="n">
        <v>2</v>
      </c>
      <c r="C37" s="28" t="s">
        <v>689</v>
      </c>
      <c r="D37" s="28" t="s">
        <v>554</v>
      </c>
      <c r="E37" s="28" t="s">
        <v>1182</v>
      </c>
      <c r="F37" s="8" t="s">
        <v>1219</v>
      </c>
      <c r="G37" s="36" t="n">
        <v>1</v>
      </c>
      <c r="H37" s="36" t="n">
        <v>1</v>
      </c>
      <c r="I37" s="36" t="s">
        <v>884</v>
      </c>
      <c r="J37" s="36" t="s">
        <v>884</v>
      </c>
      <c r="K37" s="36" t="s">
        <v>884</v>
      </c>
      <c r="L37" s="36" t="n">
        <v>1</v>
      </c>
      <c r="M37" s="37" t="n">
        <f aca="false">SUM(G37:L37)</f>
        <v>3</v>
      </c>
      <c r="N37" s="37" t="n">
        <f aca="false">IF(E37="Vulnerable",12,6)</f>
        <v>6</v>
      </c>
      <c r="O37" s="38" t="n">
        <f aca="false">M37/N37</f>
        <v>0.5</v>
      </c>
      <c r="P37" s="37" t="s">
        <v>1184</v>
      </c>
      <c r="Q37" s="37" t="s">
        <v>1193</v>
      </c>
      <c r="R37" s="8" t="s">
        <v>1220</v>
      </c>
    </row>
    <row r="38" customFormat="false" ht="26.25" hidden="false" customHeight="true" outlineLevel="0" collapsed="false">
      <c r="A38" s="28" t="s">
        <v>139</v>
      </c>
      <c r="B38" s="28" t="n">
        <v>3</v>
      </c>
      <c r="C38" s="28" t="s">
        <v>690</v>
      </c>
      <c r="D38" s="28" t="s">
        <v>554</v>
      </c>
      <c r="E38" s="28" t="s">
        <v>1182</v>
      </c>
      <c r="F38" s="8" t="s">
        <v>1183</v>
      </c>
      <c r="G38" s="36" t="n">
        <v>2</v>
      </c>
      <c r="H38" s="36" t="n">
        <v>2</v>
      </c>
      <c r="I38" s="36" t="s">
        <v>884</v>
      </c>
      <c r="J38" s="36" t="s">
        <v>884</v>
      </c>
      <c r="K38" s="36" t="s">
        <v>884</v>
      </c>
      <c r="L38" s="36" t="n">
        <v>2</v>
      </c>
      <c r="M38" s="37" t="n">
        <f aca="false">SUM(G38:L38)</f>
        <v>6</v>
      </c>
      <c r="N38" s="37" t="n">
        <f aca="false">IF(E38="Vulnerable",12,6)</f>
        <v>6</v>
      </c>
      <c r="O38" s="38" t="n">
        <f aca="false">M38/N38</f>
        <v>1</v>
      </c>
      <c r="P38" s="37" t="s">
        <v>1184</v>
      </c>
      <c r="Q38" s="37" t="s">
        <v>1184</v>
      </c>
      <c r="R38" s="8" t="s">
        <v>1221</v>
      </c>
    </row>
    <row r="39" customFormat="false" ht="26.25" hidden="false" customHeight="true" outlineLevel="0" collapsed="false">
      <c r="A39" s="28" t="s">
        <v>194</v>
      </c>
      <c r="B39" s="28" t="n">
        <v>1</v>
      </c>
      <c r="C39" s="28" t="s">
        <v>691</v>
      </c>
      <c r="D39" s="28" t="s">
        <v>545</v>
      </c>
      <c r="E39" s="28" t="s">
        <v>48</v>
      </c>
      <c r="F39" s="8" t="s">
        <v>1189</v>
      </c>
      <c r="G39" s="36" t="n">
        <v>2</v>
      </c>
      <c r="H39" s="36" t="n">
        <v>2</v>
      </c>
      <c r="I39" s="36" t="n">
        <v>2</v>
      </c>
      <c r="J39" s="36" t="n">
        <v>2</v>
      </c>
      <c r="K39" s="36" t="n">
        <v>2</v>
      </c>
      <c r="L39" s="36" t="n">
        <v>2</v>
      </c>
      <c r="M39" s="37" t="n">
        <f aca="false">SUM(G39:L39)</f>
        <v>12</v>
      </c>
      <c r="N39" s="37" t="n">
        <f aca="false">IF(E39="Vulnerable",12,6)</f>
        <v>12</v>
      </c>
      <c r="O39" s="38" t="n">
        <f aca="false">M39/N39</f>
        <v>1</v>
      </c>
      <c r="P39" s="37" t="s">
        <v>1184</v>
      </c>
      <c r="Q39" s="37" t="s">
        <v>1184</v>
      </c>
      <c r="R39" s="8" t="s">
        <v>1222</v>
      </c>
    </row>
    <row r="40" customFormat="false" ht="26.25" hidden="false" customHeight="true" outlineLevel="0" collapsed="false">
      <c r="A40" s="28" t="s">
        <v>194</v>
      </c>
      <c r="B40" s="28" t="n">
        <v>2</v>
      </c>
      <c r="C40" s="28" t="s">
        <v>692</v>
      </c>
      <c r="D40" s="28" t="s">
        <v>554</v>
      </c>
      <c r="E40" s="28" t="s">
        <v>48</v>
      </c>
      <c r="F40" s="8" t="s">
        <v>1189</v>
      </c>
      <c r="G40" s="36" t="n">
        <v>2</v>
      </c>
      <c r="H40" s="36" t="n">
        <v>1</v>
      </c>
      <c r="I40" s="36" t="n">
        <v>2</v>
      </c>
      <c r="J40" s="36" t="n">
        <v>2</v>
      </c>
      <c r="K40" s="36" t="n">
        <v>2</v>
      </c>
      <c r="L40" s="36" t="n">
        <v>2</v>
      </c>
      <c r="M40" s="37" t="n">
        <f aca="false">SUM(G40:L40)</f>
        <v>11</v>
      </c>
      <c r="N40" s="37" t="n">
        <f aca="false">IF(E40="Vulnerable",12,6)</f>
        <v>12</v>
      </c>
      <c r="O40" s="38" t="n">
        <f aca="false">M40/N40</f>
        <v>0.916666666666667</v>
      </c>
      <c r="P40" s="37" t="s">
        <v>1184</v>
      </c>
      <c r="Q40" s="37" t="s">
        <v>1184</v>
      </c>
      <c r="R40" s="8" t="s">
        <v>1223</v>
      </c>
    </row>
    <row r="41" customFormat="false" ht="26.25" hidden="false" customHeight="true" outlineLevel="0" collapsed="false">
      <c r="A41" s="28" t="s">
        <v>194</v>
      </c>
      <c r="B41" s="28" t="n">
        <v>3</v>
      </c>
      <c r="C41" s="28" t="s">
        <v>693</v>
      </c>
      <c r="D41" s="28" t="s">
        <v>554</v>
      </c>
      <c r="E41" s="28" t="s">
        <v>48</v>
      </c>
      <c r="F41" s="8" t="s">
        <v>1189</v>
      </c>
      <c r="G41" s="36" t="n">
        <v>2</v>
      </c>
      <c r="H41" s="36" t="n">
        <v>1</v>
      </c>
      <c r="I41" s="36" t="n">
        <v>2</v>
      </c>
      <c r="J41" s="36" t="n">
        <v>2</v>
      </c>
      <c r="K41" s="36" t="n">
        <v>2</v>
      </c>
      <c r="L41" s="36" t="n">
        <v>2</v>
      </c>
      <c r="M41" s="37" t="n">
        <f aca="false">SUM(G41:L41)</f>
        <v>11</v>
      </c>
      <c r="N41" s="37" t="n">
        <f aca="false">IF(E41="Vulnerable",12,6)</f>
        <v>12</v>
      </c>
      <c r="O41" s="38" t="n">
        <f aca="false">M41/N41</f>
        <v>0.916666666666667</v>
      </c>
      <c r="P41" s="37" t="s">
        <v>1184</v>
      </c>
      <c r="Q41" s="37" t="s">
        <v>1184</v>
      </c>
      <c r="R41" s="8" t="s">
        <v>1224</v>
      </c>
    </row>
    <row r="42" customFormat="false" ht="26.25" hidden="false" customHeight="true" outlineLevel="0" collapsed="false">
      <c r="A42" s="28" t="s">
        <v>196</v>
      </c>
      <c r="B42" s="28" t="n">
        <v>1</v>
      </c>
      <c r="C42" s="28" t="s">
        <v>694</v>
      </c>
      <c r="D42" s="28" t="s">
        <v>545</v>
      </c>
      <c r="E42" s="28" t="s">
        <v>1182</v>
      </c>
      <c r="F42" s="8" t="s">
        <v>1225</v>
      </c>
      <c r="G42" s="36" t="n">
        <v>1</v>
      </c>
      <c r="H42" s="36" t="n">
        <v>2</v>
      </c>
      <c r="I42" s="36" t="s">
        <v>884</v>
      </c>
      <c r="J42" s="36" t="s">
        <v>884</v>
      </c>
      <c r="K42" s="36" t="s">
        <v>884</v>
      </c>
      <c r="L42" s="36" t="n">
        <v>1</v>
      </c>
      <c r="M42" s="37" t="n">
        <f aca="false">SUM(G42:L42)</f>
        <v>4</v>
      </c>
      <c r="N42" s="37" t="n">
        <f aca="false">IF(E42="Vulnerable",12,6)</f>
        <v>6</v>
      </c>
      <c r="O42" s="38" t="n">
        <f aca="false">M42/N42</f>
        <v>0.666666666666667</v>
      </c>
      <c r="P42" s="37" t="s">
        <v>1184</v>
      </c>
      <c r="Q42" s="37" t="s">
        <v>1193</v>
      </c>
      <c r="R42" s="8" t="s">
        <v>1226</v>
      </c>
    </row>
    <row r="43" customFormat="false" ht="26.25" hidden="false" customHeight="true" outlineLevel="0" collapsed="false">
      <c r="A43" s="28" t="s">
        <v>196</v>
      </c>
      <c r="B43" s="28" t="n">
        <v>2</v>
      </c>
      <c r="C43" s="28" t="s">
        <v>695</v>
      </c>
      <c r="D43" s="28" t="s">
        <v>554</v>
      </c>
      <c r="E43" s="28" t="s">
        <v>1182</v>
      </c>
      <c r="F43" s="8" t="s">
        <v>1183</v>
      </c>
      <c r="G43" s="36" t="n">
        <v>2</v>
      </c>
      <c r="H43" s="36" t="n">
        <v>2</v>
      </c>
      <c r="I43" s="36" t="s">
        <v>884</v>
      </c>
      <c r="J43" s="36" t="s">
        <v>884</v>
      </c>
      <c r="K43" s="36" t="s">
        <v>884</v>
      </c>
      <c r="L43" s="36" t="n">
        <v>2</v>
      </c>
      <c r="M43" s="37" t="n">
        <f aca="false">SUM(G43:L43)</f>
        <v>6</v>
      </c>
      <c r="N43" s="37" t="n">
        <f aca="false">IF(E43="Vulnerable",12,6)</f>
        <v>6</v>
      </c>
      <c r="O43" s="38" t="n">
        <f aca="false">M43/N43</f>
        <v>1</v>
      </c>
      <c r="P43" s="37" t="s">
        <v>1184</v>
      </c>
      <c r="Q43" s="37" t="s">
        <v>1184</v>
      </c>
      <c r="R43" s="8" t="s">
        <v>1227</v>
      </c>
    </row>
    <row r="44" customFormat="false" ht="26.25" hidden="false" customHeight="true" outlineLevel="0" collapsed="false">
      <c r="A44" s="28" t="s">
        <v>196</v>
      </c>
      <c r="B44" s="28" t="n">
        <v>3</v>
      </c>
      <c r="C44" s="28" t="s">
        <v>696</v>
      </c>
      <c r="D44" s="28" t="s">
        <v>554</v>
      </c>
      <c r="E44" s="28" t="s">
        <v>1182</v>
      </c>
      <c r="F44" s="8" t="s">
        <v>1183</v>
      </c>
      <c r="G44" s="36" t="n">
        <v>2</v>
      </c>
      <c r="H44" s="36" t="n">
        <v>2</v>
      </c>
      <c r="I44" s="36" t="s">
        <v>884</v>
      </c>
      <c r="J44" s="36" t="s">
        <v>884</v>
      </c>
      <c r="K44" s="36" t="s">
        <v>884</v>
      </c>
      <c r="L44" s="36" t="n">
        <v>2</v>
      </c>
      <c r="M44" s="37" t="n">
        <f aca="false">SUM(G44:L44)</f>
        <v>6</v>
      </c>
      <c r="N44" s="37" t="n">
        <f aca="false">IF(E44="Vulnerable",12,6)</f>
        <v>6</v>
      </c>
      <c r="O44" s="38" t="n">
        <f aca="false">M44/N44</f>
        <v>1</v>
      </c>
      <c r="P44" s="37" t="s">
        <v>1184</v>
      </c>
      <c r="Q44" s="37" t="s">
        <v>1184</v>
      </c>
      <c r="R44" s="8" t="s">
        <v>1228</v>
      </c>
    </row>
    <row r="45" customFormat="false" ht="26.25" hidden="false" customHeight="true" outlineLevel="0" collapsed="false">
      <c r="A45" s="28" t="s">
        <v>198</v>
      </c>
      <c r="B45" s="28" t="n">
        <v>1</v>
      </c>
      <c r="C45" s="28" t="s">
        <v>697</v>
      </c>
      <c r="D45" s="28" t="s">
        <v>545</v>
      </c>
      <c r="E45" s="28" t="s">
        <v>48</v>
      </c>
      <c r="F45" s="8" t="s">
        <v>1189</v>
      </c>
      <c r="G45" s="36" t="n">
        <v>2</v>
      </c>
      <c r="H45" s="36" t="n">
        <v>2</v>
      </c>
      <c r="I45" s="36" t="n">
        <v>2</v>
      </c>
      <c r="J45" s="36" t="n">
        <v>2</v>
      </c>
      <c r="K45" s="36" t="n">
        <v>2</v>
      </c>
      <c r="L45" s="36" t="n">
        <v>2</v>
      </c>
      <c r="M45" s="37" t="n">
        <f aca="false">SUM(G45:L45)</f>
        <v>12</v>
      </c>
      <c r="N45" s="37" t="n">
        <f aca="false">IF(E45="Vulnerable",12,6)</f>
        <v>12</v>
      </c>
      <c r="O45" s="38" t="n">
        <f aca="false">M45/N45</f>
        <v>1</v>
      </c>
      <c r="P45" s="37" t="s">
        <v>1184</v>
      </c>
      <c r="Q45" s="37" t="s">
        <v>1184</v>
      </c>
      <c r="R45" s="8" t="s">
        <v>1229</v>
      </c>
    </row>
    <row r="46" customFormat="false" ht="39" hidden="false" customHeight="true" outlineLevel="0" collapsed="false">
      <c r="A46" s="28" t="s">
        <v>198</v>
      </c>
      <c r="B46" s="28" t="n">
        <v>2</v>
      </c>
      <c r="C46" s="28" t="s">
        <v>698</v>
      </c>
      <c r="D46" s="28" t="s">
        <v>554</v>
      </c>
      <c r="E46" s="28" t="s">
        <v>48</v>
      </c>
      <c r="F46" s="8" t="s">
        <v>1189</v>
      </c>
      <c r="G46" s="36" t="n">
        <v>2</v>
      </c>
      <c r="H46" s="36" t="n">
        <v>2</v>
      </c>
      <c r="I46" s="36" t="n">
        <v>2</v>
      </c>
      <c r="J46" s="36" t="n">
        <v>2</v>
      </c>
      <c r="K46" s="36" t="n">
        <v>2</v>
      </c>
      <c r="L46" s="36" t="n">
        <v>2</v>
      </c>
      <c r="M46" s="37" t="n">
        <f aca="false">SUM(G46:L46)</f>
        <v>12</v>
      </c>
      <c r="N46" s="37" t="n">
        <f aca="false">IF(E46="Vulnerable",12,6)</f>
        <v>12</v>
      </c>
      <c r="O46" s="38" t="n">
        <f aca="false">M46/N46</f>
        <v>1</v>
      </c>
      <c r="P46" s="37" t="s">
        <v>1184</v>
      </c>
      <c r="Q46" s="37" t="s">
        <v>1184</v>
      </c>
      <c r="R46" s="8" t="s">
        <v>1230</v>
      </c>
    </row>
    <row r="47" customFormat="false" ht="26.25" hidden="false" customHeight="true" outlineLevel="0" collapsed="false">
      <c r="A47" s="28" t="s">
        <v>198</v>
      </c>
      <c r="B47" s="28" t="n">
        <v>3</v>
      </c>
      <c r="C47" s="28" t="s">
        <v>699</v>
      </c>
      <c r="D47" s="28" t="s">
        <v>554</v>
      </c>
      <c r="E47" s="28" t="s">
        <v>48</v>
      </c>
      <c r="F47" s="8" t="s">
        <v>1189</v>
      </c>
      <c r="G47" s="36" t="n">
        <v>2</v>
      </c>
      <c r="H47" s="36" t="n">
        <v>2</v>
      </c>
      <c r="I47" s="36" t="n">
        <v>2</v>
      </c>
      <c r="J47" s="36" t="n">
        <v>2</v>
      </c>
      <c r="K47" s="36" t="n">
        <v>2</v>
      </c>
      <c r="L47" s="36" t="n">
        <v>2</v>
      </c>
      <c r="M47" s="37" t="n">
        <f aca="false">SUM(G47:L47)</f>
        <v>12</v>
      </c>
      <c r="N47" s="37" t="n">
        <f aca="false">IF(E47="Vulnerable",12,6)</f>
        <v>12</v>
      </c>
      <c r="O47" s="38" t="n">
        <f aca="false">M47/N47</f>
        <v>1</v>
      </c>
      <c r="P47" s="37" t="s">
        <v>1184</v>
      </c>
      <c r="Q47" s="37" t="s">
        <v>1184</v>
      </c>
      <c r="R47" s="8" t="s">
        <v>1231</v>
      </c>
    </row>
    <row r="48" customFormat="false" ht="15" hidden="false" customHeight="true" outlineLevel="0" collapsed="false">
      <c r="A48" s="23" t="s">
        <v>1232</v>
      </c>
    </row>
    <row r="50" customFormat="false" ht="17.25" hidden="false" customHeight="true" outlineLevel="0" collapsed="false">
      <c r="A50" s="13" t="s">
        <v>938</v>
      </c>
    </row>
    <row r="51" customFormat="false" ht="15" hidden="false" customHeight="true" outlineLevel="0" collapsed="false">
      <c r="A51" s="39" t="s">
        <v>152</v>
      </c>
      <c r="G51" s="39" t="s">
        <v>1170</v>
      </c>
      <c r="H51" s="39" t="s">
        <v>1171</v>
      </c>
      <c r="I51" s="39" t="s">
        <v>1172</v>
      </c>
      <c r="J51" s="39" t="s">
        <v>1173</v>
      </c>
      <c r="K51" s="39" t="s">
        <v>1174</v>
      </c>
      <c r="L51" s="39" t="s">
        <v>1175</v>
      </c>
      <c r="O51" s="39" t="s">
        <v>1178</v>
      </c>
    </row>
    <row r="52" customFormat="false" ht="15" hidden="false" customHeight="true" outlineLevel="0" collapsed="false">
      <c r="A52" s="5" t="s">
        <v>1233</v>
      </c>
      <c r="G52" s="40" t="n">
        <f aca="false">AVERAGEIFS(G$2:G$47,$E$2:$E$47,"Vulnerable")</f>
        <v>1.89189189189189</v>
      </c>
      <c r="H52" s="40" t="n">
        <f aca="false">AVERAGEIFS(H$2:H$47,$E$2:$E$47,"Vulnerable")</f>
        <v>1.64864864864865</v>
      </c>
      <c r="I52" s="40" t="n">
        <f aca="false">AVERAGEIFS(I$2:I$47,$E$2:$E$47,"Vulnerable")</f>
        <v>1.89189189189189</v>
      </c>
      <c r="J52" s="40" t="n">
        <f aca="false">AVERAGEIFS(J$2:J$47,$E$2:$E$47,"Vulnerable")</f>
        <v>1.89189189189189</v>
      </c>
      <c r="K52" s="40" t="n">
        <f aca="false">AVERAGEIFS(K$2:K$47,$E$2:$E$47,"Vulnerable")</f>
        <v>1.97297297297297</v>
      </c>
      <c r="L52" s="40" t="n">
        <f aca="false">AVERAGEIFS(L$2:L$47,$E$2:$E$47,"Vulnerable")</f>
        <v>1.75675675675676</v>
      </c>
      <c r="O52" s="24" t="n">
        <f aca="false">AVERAGEIFS(O$2:O$47,$E$2:$E$47,"Vulnerable")</f>
        <v>0.921171171171171</v>
      </c>
    </row>
    <row r="53" customFormat="false" ht="15" hidden="false" customHeight="true" outlineLevel="0" collapsed="false">
      <c r="A53" s="5" t="s">
        <v>1234</v>
      </c>
      <c r="G53" s="40" t="n">
        <f aca="false">AVERAGEIFS(G$2:G$47,$E$2:$E$47,"Not vulnerable")</f>
        <v>1.55555555555556</v>
      </c>
      <c r="H53" s="40" t="n">
        <f aca="false">AVERAGEIFS(H$2:H$47,$E$2:$E$47,"Not vulnerable")</f>
        <v>1.77777777777778</v>
      </c>
      <c r="I53" s="1" t="s">
        <v>884</v>
      </c>
      <c r="J53" s="1" t="s">
        <v>884</v>
      </c>
      <c r="K53" s="1" t="s">
        <v>884</v>
      </c>
      <c r="L53" s="40" t="n">
        <f aca="false">AVERAGEIFS(L$2:L$47,$E$2:$E$47,"Not vulnerable")</f>
        <v>1.55555555555556</v>
      </c>
      <c r="O53" s="24" t="n">
        <f aca="false">AVERAGEIFS(O$2:O$47,$E$2:$E$47,"Not vulnerable")</f>
        <v>0.814814814814815</v>
      </c>
    </row>
    <row r="54" customFormat="false" ht="15" hidden="false" customHeight="true" outlineLevel="0" collapsed="false">
      <c r="A54" s="5" t="s">
        <v>1235</v>
      </c>
      <c r="G54" s="1" t="str">
        <f aca="false">COUNTIF(P$2:P$47,"Y")&amp;" of "&amp;COUNTA(P$2:P$47)</f>
        <v>9 of 46</v>
      </c>
    </row>
    <row r="55" customFormat="false" ht="15" hidden="false" customHeight="true" outlineLevel="0" collapsed="false">
      <c r="A55" s="5" t="s">
        <v>1236</v>
      </c>
      <c r="G55" s="1" t="str">
        <f aca="false">COUNTIF(Q$2:Q$47,"Y")&amp;" of "&amp;COUNTA(Q$2:Q$47)</f>
        <v>6 of 46</v>
      </c>
    </row>
    <row r="56" customFormat="false" ht="15" hidden="false" customHeight="true" outlineLevel="0" collapsed="false">
      <c r="A56" s="5" t="s">
        <v>1237</v>
      </c>
      <c r="G56" s="1" t="str">
        <f aca="false">SUMPRODUCT(($E$2:$E$47="Vulnerable")*(M$2:M$47=12))&amp;" of "&amp;COUNTIF($E$2:$E$47,"Vulnerable")</f>
        <v>18 of 37</v>
      </c>
    </row>
    <row r="58" customFormat="false" ht="17.25" hidden="false" customHeight="true" outlineLevel="0" collapsed="false">
      <c r="A58" s="13" t="s">
        <v>1238</v>
      </c>
    </row>
    <row r="59" customFormat="false" ht="15" hidden="false" customHeight="true" outlineLevel="0" collapsed="false">
      <c r="A59" s="39" t="s">
        <v>185</v>
      </c>
      <c r="B59" s="39" t="s">
        <v>945</v>
      </c>
      <c r="C59" s="39" t="s">
        <v>1239</v>
      </c>
      <c r="D59" s="39" t="s">
        <v>1240</v>
      </c>
      <c r="E59" s="39" t="s">
        <v>1241</v>
      </c>
      <c r="F59" s="39" t="s">
        <v>1242</v>
      </c>
      <c r="G59" s="39" t="s">
        <v>1243</v>
      </c>
      <c r="H59" s="39" t="s">
        <v>1244</v>
      </c>
    </row>
    <row r="60" customFormat="false" ht="15" hidden="false" customHeight="true" outlineLevel="0" collapsed="false">
      <c r="A60" s="5" t="s">
        <v>32</v>
      </c>
      <c r="B60" s="1" t="n">
        <f aca="false">COUNTIF($A$2:$A$47,A60)</f>
        <v>3</v>
      </c>
      <c r="C60" s="40" t="n">
        <f aca="false">AVERAGEIF($A$2:$A$47,A60,G$2:G$47)</f>
        <v>2</v>
      </c>
      <c r="D60" s="40" t="n">
        <f aca="false">AVERAGEIF($A$2:$A$47,A60,H$2:H$47)</f>
        <v>2</v>
      </c>
      <c r="E60" s="40" t="n">
        <f aca="false">AVERAGEIF($A$2:$A$47,A60,L$2:L$47)</f>
        <v>2</v>
      </c>
      <c r="F60" s="40" t="str">
        <f aca="false">IFERROR(AVERAGEIF($A$2:$A$47,A60,J$2:J$47),"n/a")</f>
        <v>n/a</v>
      </c>
      <c r="G60" s="24" t="n">
        <f aca="false">AVERAGEIF($A$2:$A$47,A60,O$2:O$47)</f>
        <v>1</v>
      </c>
      <c r="H60" s="24" t="n">
        <f aca="false">_xlfn.MINIFS(O$2:O$47,$A$2:$A$47,A60)</f>
        <v>1</v>
      </c>
    </row>
    <row r="61" customFormat="false" ht="15" hidden="false" customHeight="true" outlineLevel="0" collapsed="false">
      <c r="A61" s="5" t="s">
        <v>45</v>
      </c>
      <c r="B61" s="1" t="n">
        <f aca="false">COUNTIF($A$2:$A$47,A61)</f>
        <v>3</v>
      </c>
      <c r="C61" s="40" t="n">
        <f aca="false">AVERAGEIF($A$2:$A$47,A61,G$2:G$47)</f>
        <v>2</v>
      </c>
      <c r="D61" s="40" t="n">
        <f aca="false">AVERAGEIF($A$2:$A$47,A61,H$2:H$47)</f>
        <v>2</v>
      </c>
      <c r="E61" s="40" t="n">
        <f aca="false">AVERAGEIF($A$2:$A$47,A61,L$2:L$47)</f>
        <v>2</v>
      </c>
      <c r="F61" s="40" t="n">
        <f aca="false">IFERROR(AVERAGEIF($A$2:$A$47,A61,J$2:J$47),"n/a")</f>
        <v>2</v>
      </c>
      <c r="G61" s="24" t="n">
        <f aca="false">AVERAGEIF($A$2:$A$47,A61,O$2:O$47)</f>
        <v>1</v>
      </c>
      <c r="H61" s="24" t="n">
        <f aca="false">_xlfn.MINIFS(O$2:O$47,$A$2:$A$47,A61)</f>
        <v>1</v>
      </c>
    </row>
    <row r="62" customFormat="false" ht="15" hidden="false" customHeight="true" outlineLevel="0" collapsed="false">
      <c r="A62" s="5" t="s">
        <v>58</v>
      </c>
      <c r="B62" s="1" t="n">
        <f aca="false">COUNTIF($A$2:$A$47,A62)</f>
        <v>3</v>
      </c>
      <c r="C62" s="40" t="n">
        <f aca="false">AVERAGEIF($A$2:$A$47,A62,G$2:G$47)</f>
        <v>2</v>
      </c>
      <c r="D62" s="40" t="n">
        <f aca="false">AVERAGEIF($A$2:$A$47,A62,H$2:H$47)</f>
        <v>2</v>
      </c>
      <c r="E62" s="40" t="n">
        <f aca="false">AVERAGEIF($A$2:$A$47,A62,L$2:L$47)</f>
        <v>1.66666666666667</v>
      </c>
      <c r="F62" s="40" t="n">
        <f aca="false">IFERROR(AVERAGEIF($A$2:$A$47,A62,J$2:J$47),"n/a")</f>
        <v>2</v>
      </c>
      <c r="G62" s="24" t="n">
        <f aca="false">AVERAGEIF($A$2:$A$47,A62,O$2:O$47)</f>
        <v>0.972222222222222</v>
      </c>
      <c r="H62" s="24" t="n">
        <f aca="false">_xlfn.MINIFS(O$2:O$47,$A$2:$A$47,A62)</f>
        <v>0.916666666666667</v>
      </c>
    </row>
    <row r="63" customFormat="false" ht="15" hidden="false" customHeight="true" outlineLevel="0" collapsed="false">
      <c r="A63" s="5" t="s">
        <v>68</v>
      </c>
      <c r="B63" s="1" t="n">
        <f aca="false">COUNTIF($A$2:$A$47,A63)</f>
        <v>3</v>
      </c>
      <c r="C63" s="40" t="n">
        <f aca="false">AVERAGEIF($A$2:$A$47,A63,G$2:G$47)</f>
        <v>2</v>
      </c>
      <c r="D63" s="40" t="n">
        <f aca="false">AVERAGEIF($A$2:$A$47,A63,H$2:H$47)</f>
        <v>2</v>
      </c>
      <c r="E63" s="40" t="n">
        <f aca="false">AVERAGEIF($A$2:$A$47,A63,L$2:L$47)</f>
        <v>2</v>
      </c>
      <c r="F63" s="40" t="n">
        <f aca="false">IFERROR(AVERAGEIF($A$2:$A$47,A63,J$2:J$47),"n/a")</f>
        <v>1</v>
      </c>
      <c r="G63" s="24" t="n">
        <f aca="false">AVERAGEIF($A$2:$A$47,A63,O$2:O$47)</f>
        <v>0.833333333333333</v>
      </c>
      <c r="H63" s="24" t="n">
        <f aca="false">_xlfn.MINIFS(O$2:O$47,$A$2:$A$47,A63)</f>
        <v>0.833333333333333</v>
      </c>
    </row>
    <row r="64" customFormat="false" ht="15" hidden="false" customHeight="true" outlineLevel="0" collapsed="false">
      <c r="A64" s="5" t="s">
        <v>78</v>
      </c>
      <c r="B64" s="1" t="n">
        <f aca="false">COUNTIF($A$2:$A$47,A64)</f>
        <v>3</v>
      </c>
      <c r="C64" s="40" t="n">
        <f aca="false">AVERAGEIF($A$2:$A$47,A64,G$2:G$47)</f>
        <v>2</v>
      </c>
      <c r="D64" s="40" t="n">
        <f aca="false">AVERAGEIF($A$2:$A$47,A64,H$2:H$47)</f>
        <v>2</v>
      </c>
      <c r="E64" s="40" t="n">
        <f aca="false">AVERAGEIF($A$2:$A$47,A64,L$2:L$47)</f>
        <v>2</v>
      </c>
      <c r="F64" s="40" t="n">
        <f aca="false">IFERROR(AVERAGEIF($A$2:$A$47,A64,J$2:J$47),"n/a")</f>
        <v>2</v>
      </c>
      <c r="G64" s="24" t="n">
        <f aca="false">AVERAGEIF($A$2:$A$47,A64,O$2:O$47)</f>
        <v>1</v>
      </c>
      <c r="H64" s="24" t="n">
        <f aca="false">_xlfn.MINIFS(O$2:O$47,$A$2:$A$47,A64)</f>
        <v>1</v>
      </c>
    </row>
    <row r="65" customFormat="false" ht="15" hidden="false" customHeight="true" outlineLevel="0" collapsed="false">
      <c r="A65" s="5" t="s">
        <v>87</v>
      </c>
      <c r="B65" s="1" t="n">
        <f aca="false">COUNTIF($A$2:$A$47,A65)</f>
        <v>3</v>
      </c>
      <c r="C65" s="40" t="n">
        <f aca="false">AVERAGEIF($A$2:$A$47,A65,G$2:G$47)</f>
        <v>2</v>
      </c>
      <c r="D65" s="40" t="n">
        <f aca="false">AVERAGEIF($A$2:$A$47,A65,H$2:H$47)</f>
        <v>2</v>
      </c>
      <c r="E65" s="40" t="n">
        <f aca="false">AVERAGEIF($A$2:$A$47,A65,L$2:L$47)</f>
        <v>2</v>
      </c>
      <c r="F65" s="40" t="n">
        <f aca="false">IFERROR(AVERAGEIF($A$2:$A$47,A65,J$2:J$47),"n/a")</f>
        <v>2</v>
      </c>
      <c r="G65" s="24" t="n">
        <f aca="false">AVERAGEIF($A$2:$A$47,A65,O$2:O$47)</f>
        <v>1</v>
      </c>
      <c r="H65" s="24" t="n">
        <f aca="false">_xlfn.MINIFS(O$2:O$47,$A$2:$A$47,A65)</f>
        <v>1</v>
      </c>
    </row>
    <row r="66" customFormat="false" ht="15" hidden="false" customHeight="true" outlineLevel="0" collapsed="false">
      <c r="A66" s="5" t="s">
        <v>96</v>
      </c>
      <c r="B66" s="1" t="n">
        <f aca="false">COUNTIF($A$2:$A$47,A66)</f>
        <v>3</v>
      </c>
      <c r="C66" s="40" t="n">
        <f aca="false">AVERAGEIF($A$2:$A$47,A66,G$2:G$47)</f>
        <v>2</v>
      </c>
      <c r="D66" s="40" t="n">
        <f aca="false">AVERAGEIF($A$2:$A$47,A66,H$2:H$47)</f>
        <v>1</v>
      </c>
      <c r="E66" s="40" t="n">
        <f aca="false">AVERAGEIF($A$2:$A$47,A66,L$2:L$47)</f>
        <v>2</v>
      </c>
      <c r="F66" s="40" t="n">
        <f aca="false">IFERROR(AVERAGEIF($A$2:$A$47,A66,J$2:J$47),"n/a")</f>
        <v>2</v>
      </c>
      <c r="G66" s="24" t="n">
        <f aca="false">AVERAGEIF($A$2:$A$47,A66,O$2:O$47)</f>
        <v>0.916666666666667</v>
      </c>
      <c r="H66" s="24" t="n">
        <f aca="false">_xlfn.MINIFS(O$2:O$47,$A$2:$A$47,A66)</f>
        <v>0.916666666666667</v>
      </c>
    </row>
    <row r="67" customFormat="false" ht="15" hidden="false" customHeight="true" outlineLevel="0" collapsed="false">
      <c r="A67" s="5" t="s">
        <v>106</v>
      </c>
      <c r="B67" s="1" t="n">
        <f aca="false">COUNTIF($A$2:$A$47,A67)</f>
        <v>4</v>
      </c>
      <c r="C67" s="40" t="n">
        <f aca="false">AVERAGEIF($A$2:$A$47,A67,G$2:G$47)</f>
        <v>1</v>
      </c>
      <c r="D67" s="40" t="n">
        <f aca="false">AVERAGEIF($A$2:$A$47,A67,H$2:H$47)</f>
        <v>1.75</v>
      </c>
      <c r="E67" s="40" t="n">
        <f aca="false">AVERAGEIF($A$2:$A$47,A67,L$2:L$47)</f>
        <v>0.5</v>
      </c>
      <c r="F67" s="40" t="n">
        <f aca="false">IFERROR(AVERAGEIF($A$2:$A$47,A67,J$2:J$47),"n/a")</f>
        <v>2</v>
      </c>
      <c r="G67" s="24" t="n">
        <f aca="false">AVERAGEIF($A$2:$A$47,A67,O$2:O$47)</f>
        <v>0.729166666666667</v>
      </c>
      <c r="H67" s="24" t="n">
        <f aca="false">_xlfn.MINIFS(O$2:O$47,$A$2:$A$47,A67)</f>
        <v>0.416666666666667</v>
      </c>
    </row>
    <row r="68" customFormat="false" ht="15" hidden="false" customHeight="true" outlineLevel="0" collapsed="false">
      <c r="A68" s="5" t="s">
        <v>115</v>
      </c>
      <c r="B68" s="1" t="n">
        <f aca="false">COUNTIF($A$2:$A$47,A68)</f>
        <v>3</v>
      </c>
      <c r="C68" s="40" t="n">
        <f aca="false">AVERAGEIF($A$2:$A$47,A68,G$2:G$47)</f>
        <v>2</v>
      </c>
      <c r="D68" s="40" t="n">
        <f aca="false">AVERAGEIF($A$2:$A$47,A68,H$2:H$47)</f>
        <v>1.33333333333333</v>
      </c>
      <c r="E68" s="40" t="n">
        <f aca="false">AVERAGEIF($A$2:$A$47,A68,L$2:L$47)</f>
        <v>2</v>
      </c>
      <c r="F68" s="40" t="n">
        <f aca="false">IFERROR(AVERAGEIF($A$2:$A$47,A68,J$2:J$47),"n/a")</f>
        <v>2</v>
      </c>
      <c r="G68" s="24" t="n">
        <f aca="false">AVERAGEIF($A$2:$A$47,A68,O$2:O$47)</f>
        <v>0.944444444444444</v>
      </c>
      <c r="H68" s="24" t="n">
        <f aca="false">_xlfn.MINIFS(O$2:O$47,$A$2:$A$47,A68)</f>
        <v>0.916666666666667</v>
      </c>
    </row>
    <row r="69" customFormat="false" ht="15" hidden="false" customHeight="true" outlineLevel="0" collapsed="false">
      <c r="A69" s="5" t="s">
        <v>123</v>
      </c>
      <c r="B69" s="1" t="n">
        <f aca="false">COUNTIF($A$2:$A$47,A69)</f>
        <v>3</v>
      </c>
      <c r="C69" s="40" t="n">
        <f aca="false">AVERAGEIF($A$2:$A$47,A69,G$2:G$47)</f>
        <v>2</v>
      </c>
      <c r="D69" s="40" t="n">
        <f aca="false">AVERAGEIF($A$2:$A$47,A69,H$2:H$47)</f>
        <v>1</v>
      </c>
      <c r="E69" s="40" t="n">
        <f aca="false">AVERAGEIF($A$2:$A$47,A69,L$2:L$47)</f>
        <v>1.33333333333333</v>
      </c>
      <c r="F69" s="40" t="n">
        <f aca="false">IFERROR(AVERAGEIF($A$2:$A$47,A69,J$2:J$47),"n/a")</f>
        <v>1.66666666666667</v>
      </c>
      <c r="G69" s="24" t="n">
        <f aca="false">AVERAGEIF($A$2:$A$47,A69,O$2:O$47)</f>
        <v>0.833333333333333</v>
      </c>
      <c r="H69" s="24" t="n">
        <f aca="false">_xlfn.MINIFS(O$2:O$47,$A$2:$A$47,A69)</f>
        <v>0.75</v>
      </c>
    </row>
    <row r="70" customFormat="false" ht="15" hidden="false" customHeight="true" outlineLevel="0" collapsed="false">
      <c r="A70" s="5" t="s">
        <v>132</v>
      </c>
      <c r="B70" s="1" t="n">
        <f aca="false">COUNTIF($A$2:$A$47,A70)</f>
        <v>3</v>
      </c>
      <c r="C70" s="40" t="n">
        <f aca="false">AVERAGEIF($A$2:$A$47,A70,G$2:G$47)</f>
        <v>2</v>
      </c>
      <c r="D70" s="40" t="n">
        <f aca="false">AVERAGEIF($A$2:$A$47,A70,H$2:H$47)</f>
        <v>1.33333333333333</v>
      </c>
      <c r="E70" s="40" t="n">
        <f aca="false">AVERAGEIF($A$2:$A$47,A70,L$2:L$47)</f>
        <v>2</v>
      </c>
      <c r="F70" s="40" t="n">
        <f aca="false">IFERROR(AVERAGEIF($A$2:$A$47,A70,J$2:J$47),"n/a")</f>
        <v>2</v>
      </c>
      <c r="G70" s="24" t="n">
        <f aca="false">AVERAGEIF($A$2:$A$47,A70,O$2:O$47)</f>
        <v>0.944444444444444</v>
      </c>
      <c r="H70" s="24" t="n">
        <f aca="false">_xlfn.MINIFS(O$2:O$47,$A$2:$A$47,A70)</f>
        <v>0.916666666666667</v>
      </c>
    </row>
    <row r="71" customFormat="false" ht="15" hidden="false" customHeight="true" outlineLevel="0" collapsed="false">
      <c r="A71" s="5" t="s">
        <v>139</v>
      </c>
      <c r="B71" s="1" t="n">
        <f aca="false">COUNTIF($A$2:$A$47,A71)</f>
        <v>3</v>
      </c>
      <c r="C71" s="40" t="n">
        <f aca="false">AVERAGEIF($A$2:$A$47,A71,G$2:G$47)</f>
        <v>1</v>
      </c>
      <c r="D71" s="40" t="n">
        <f aca="false">AVERAGEIF($A$2:$A$47,A71,H$2:H$47)</f>
        <v>1.33333333333333</v>
      </c>
      <c r="E71" s="40" t="n">
        <f aca="false">AVERAGEIF($A$2:$A$47,A71,L$2:L$47)</f>
        <v>1</v>
      </c>
      <c r="F71" s="40" t="str">
        <f aca="false">IFERROR(AVERAGEIF($A$2:$A$47,A71,J$2:J$47),"n/a")</f>
        <v>n/a</v>
      </c>
      <c r="G71" s="24" t="n">
        <f aca="false">AVERAGEIF($A$2:$A$47,A71,O$2:O$47)</f>
        <v>0.555555555555556</v>
      </c>
      <c r="H71" s="24" t="n">
        <f aca="false">_xlfn.MINIFS(O$2:O$47,$A$2:$A$47,A71)</f>
        <v>0.166666666666667</v>
      </c>
    </row>
    <row r="72" customFormat="false" ht="15" hidden="false" customHeight="true" outlineLevel="0" collapsed="false">
      <c r="A72" s="5" t="s">
        <v>194</v>
      </c>
      <c r="B72" s="1" t="n">
        <f aca="false">COUNTIF($A$2:$A$47,A72)</f>
        <v>3</v>
      </c>
      <c r="C72" s="40" t="n">
        <f aca="false">AVERAGEIF($A$2:$A$47,A72,G$2:G$47)</f>
        <v>2</v>
      </c>
      <c r="D72" s="40" t="n">
        <f aca="false">AVERAGEIF($A$2:$A$47,A72,H$2:H$47)</f>
        <v>1.33333333333333</v>
      </c>
      <c r="E72" s="40" t="n">
        <f aca="false">AVERAGEIF($A$2:$A$47,A72,L$2:L$47)</f>
        <v>2</v>
      </c>
      <c r="F72" s="40" t="n">
        <f aca="false">IFERROR(AVERAGEIF($A$2:$A$47,A72,J$2:J$47),"n/a")</f>
        <v>2</v>
      </c>
      <c r="G72" s="24" t="n">
        <f aca="false">AVERAGEIF($A$2:$A$47,A72,O$2:O$47)</f>
        <v>0.944444444444444</v>
      </c>
      <c r="H72" s="24" t="n">
        <f aca="false">_xlfn.MINIFS(O$2:O$47,$A$2:$A$47,A72)</f>
        <v>0.916666666666667</v>
      </c>
    </row>
    <row r="73" customFormat="false" ht="15" hidden="false" customHeight="true" outlineLevel="0" collapsed="false">
      <c r="A73" s="5" t="s">
        <v>196</v>
      </c>
      <c r="B73" s="1" t="n">
        <f aca="false">COUNTIF($A$2:$A$47,A73)</f>
        <v>3</v>
      </c>
      <c r="C73" s="40" t="n">
        <f aca="false">AVERAGEIF($A$2:$A$47,A73,G$2:G$47)</f>
        <v>1.66666666666667</v>
      </c>
      <c r="D73" s="40" t="n">
        <f aca="false">AVERAGEIF($A$2:$A$47,A73,H$2:H$47)</f>
        <v>2</v>
      </c>
      <c r="E73" s="40" t="n">
        <f aca="false">AVERAGEIF($A$2:$A$47,A73,L$2:L$47)</f>
        <v>1.66666666666667</v>
      </c>
      <c r="F73" s="40" t="str">
        <f aca="false">IFERROR(AVERAGEIF($A$2:$A$47,A73,J$2:J$47),"n/a")</f>
        <v>n/a</v>
      </c>
      <c r="G73" s="24" t="n">
        <f aca="false">AVERAGEIF($A$2:$A$47,A73,O$2:O$47)</f>
        <v>0.888888888888889</v>
      </c>
      <c r="H73" s="24" t="n">
        <f aca="false">_xlfn.MINIFS(O$2:O$47,$A$2:$A$47,A73)</f>
        <v>0.666666666666667</v>
      </c>
    </row>
    <row r="74" customFormat="false" ht="15" hidden="false" customHeight="true" outlineLevel="0" collapsed="false">
      <c r="A74" s="5" t="s">
        <v>198</v>
      </c>
      <c r="B74" s="1" t="n">
        <f aca="false">COUNTIF($A$2:$A$47,A74)</f>
        <v>3</v>
      </c>
      <c r="C74" s="40" t="n">
        <f aca="false">AVERAGEIF($A$2:$A$47,A74,G$2:G$47)</f>
        <v>2</v>
      </c>
      <c r="D74" s="40" t="n">
        <f aca="false">AVERAGEIF($A$2:$A$47,A74,H$2:H$47)</f>
        <v>2</v>
      </c>
      <c r="E74" s="40" t="n">
        <f aca="false">AVERAGEIF($A$2:$A$47,A74,L$2:L$47)</f>
        <v>2</v>
      </c>
      <c r="F74" s="40" t="n">
        <f aca="false">IFERROR(AVERAGEIF($A$2:$A$47,A74,J$2:J$47),"n/a")</f>
        <v>2</v>
      </c>
      <c r="G74" s="24" t="n">
        <f aca="false">AVERAGEIF($A$2:$A$47,A74,O$2:O$47)</f>
        <v>1</v>
      </c>
      <c r="H74" s="24" t="n">
        <f aca="false">_xlfn.MINIFS(O$2:O$47,$A$2:$A$47,A74)</f>
        <v>1</v>
      </c>
    </row>
  </sheetData>
  <autoFilter ref="A1:R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1" width="30"/>
  </cols>
  <sheetData>
    <row r="1" customFormat="false" ht="15" hidden="false" customHeight="true" outlineLevel="0" collapsed="false">
      <c r="A1" s="7" t="s">
        <v>17</v>
      </c>
      <c r="B1" s="7" t="s">
        <v>1245</v>
      </c>
      <c r="C1" s="7" t="s">
        <v>1246</v>
      </c>
      <c r="D1" s="7" t="s">
        <v>1247</v>
      </c>
      <c r="E1" s="7" t="s">
        <v>1248</v>
      </c>
    </row>
    <row r="2" customFormat="false" ht="15" hidden="false" customHeight="true" outlineLevel="0" collapsed="false">
      <c r="A2" s="8" t="s">
        <v>32</v>
      </c>
      <c r="B2" s="8" t="s">
        <v>1249</v>
      </c>
      <c r="C2" s="8" t="s">
        <v>1250</v>
      </c>
      <c r="D2" s="8" t="s">
        <v>1250</v>
      </c>
      <c r="E2" s="8" t="s">
        <v>1250</v>
      </c>
    </row>
    <row r="3" customFormat="false" ht="15" hidden="false" customHeight="true" outlineLevel="0" collapsed="false">
      <c r="A3" s="8" t="s">
        <v>45</v>
      </c>
      <c r="B3" s="8" t="s">
        <v>1251</v>
      </c>
      <c r="C3" s="8" t="s">
        <v>1252</v>
      </c>
      <c r="D3" s="8" t="s">
        <v>1253</v>
      </c>
      <c r="E3" s="8" t="s">
        <v>1253</v>
      </c>
    </row>
    <row r="4" customFormat="false" ht="15" hidden="false" customHeight="true" outlineLevel="0" collapsed="false">
      <c r="A4" s="8" t="s">
        <v>58</v>
      </c>
      <c r="B4" s="8" t="s">
        <v>1254</v>
      </c>
      <c r="C4" s="8" t="s">
        <v>1252</v>
      </c>
      <c r="D4" s="8" t="s">
        <v>1253</v>
      </c>
      <c r="E4" s="8" t="s">
        <v>1253</v>
      </c>
    </row>
    <row r="5" customFormat="false" ht="15" hidden="false" customHeight="true" outlineLevel="0" collapsed="false">
      <c r="A5" s="8" t="s">
        <v>68</v>
      </c>
      <c r="B5" s="8" t="s">
        <v>1255</v>
      </c>
      <c r="C5" s="8" t="s">
        <v>1252</v>
      </c>
      <c r="D5" s="8" t="s">
        <v>1253</v>
      </c>
      <c r="E5" s="8" t="s">
        <v>1256</v>
      </c>
    </row>
    <row r="6" customFormat="false" ht="15" hidden="false" customHeight="true" outlineLevel="0" collapsed="false">
      <c r="A6" s="8" t="s">
        <v>78</v>
      </c>
      <c r="B6" s="8" t="s">
        <v>1257</v>
      </c>
      <c r="C6" s="8" t="s">
        <v>1258</v>
      </c>
      <c r="D6" s="8" t="s">
        <v>1259</v>
      </c>
      <c r="E6" s="8" t="s">
        <v>1260</v>
      </c>
    </row>
    <row r="7" customFormat="false" ht="15" hidden="false" customHeight="true" outlineLevel="0" collapsed="false">
      <c r="A7" s="8" t="s">
        <v>87</v>
      </c>
      <c r="B7" s="8" t="s">
        <v>1261</v>
      </c>
      <c r="C7" s="8" t="s">
        <v>1258</v>
      </c>
      <c r="D7" s="8" t="s">
        <v>1259</v>
      </c>
      <c r="E7" s="8" t="s">
        <v>1260</v>
      </c>
    </row>
    <row r="8" customFormat="false" ht="15" hidden="false" customHeight="true" outlineLevel="0" collapsed="false">
      <c r="A8" s="8" t="s">
        <v>96</v>
      </c>
      <c r="B8" s="8" t="s">
        <v>1262</v>
      </c>
      <c r="C8" s="8" t="s">
        <v>1258</v>
      </c>
      <c r="D8" s="8" t="s">
        <v>1258</v>
      </c>
      <c r="E8" s="8" t="s">
        <v>1253</v>
      </c>
    </row>
    <row r="9" customFormat="false" ht="26.25" hidden="false" customHeight="true" outlineLevel="0" collapsed="false">
      <c r="A9" s="8" t="s">
        <v>106</v>
      </c>
      <c r="B9" s="8" t="s">
        <v>1263</v>
      </c>
      <c r="C9" s="8" t="s">
        <v>1252</v>
      </c>
      <c r="D9" s="8" t="s">
        <v>1259</v>
      </c>
      <c r="E9" s="8" t="s">
        <v>1260</v>
      </c>
    </row>
    <row r="10" customFormat="false" ht="15" hidden="false" customHeight="true" outlineLevel="0" collapsed="false">
      <c r="A10" s="8" t="s">
        <v>115</v>
      </c>
      <c r="B10" s="8" t="s">
        <v>1264</v>
      </c>
      <c r="C10" s="8" t="s">
        <v>1252</v>
      </c>
      <c r="D10" s="8" t="s">
        <v>1252</v>
      </c>
      <c r="E10" s="8" t="s">
        <v>1260</v>
      </c>
    </row>
    <row r="11" customFormat="false" ht="26.25" hidden="false" customHeight="true" outlineLevel="0" collapsed="false">
      <c r="A11" s="8" t="s">
        <v>123</v>
      </c>
      <c r="B11" s="8" t="s">
        <v>124</v>
      </c>
      <c r="C11" s="8" t="s">
        <v>1258</v>
      </c>
      <c r="D11" s="8" t="s">
        <v>1252</v>
      </c>
      <c r="E11" s="8" t="s">
        <v>1253</v>
      </c>
    </row>
    <row r="12" customFormat="false" ht="26.25" hidden="false" customHeight="true" outlineLevel="0" collapsed="false">
      <c r="A12" s="8" t="s">
        <v>132</v>
      </c>
      <c r="B12" s="8" t="s">
        <v>1265</v>
      </c>
      <c r="C12" s="8" t="s">
        <v>1258</v>
      </c>
      <c r="D12" s="8" t="s">
        <v>1252</v>
      </c>
      <c r="E12" s="8" t="s">
        <v>1256</v>
      </c>
    </row>
    <row r="13" customFormat="false" ht="26.25" hidden="false" customHeight="true" outlineLevel="0" collapsed="false">
      <c r="A13" s="8" t="s">
        <v>139</v>
      </c>
      <c r="B13" s="8" t="s">
        <v>1266</v>
      </c>
      <c r="C13" s="8" t="s">
        <v>1252</v>
      </c>
      <c r="D13" s="8" t="s">
        <v>1253</v>
      </c>
      <c r="E13" s="8" t="s">
        <v>1260</v>
      </c>
    </row>
    <row r="15" customFormat="false" ht="15" hidden="false" customHeight="true" outlineLevel="0" collapsed="false">
      <c r="A15" s="23" t="s">
        <v>1267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2026-10-13T13:50:15Z</dcterms:created>
  <dc:creator>openpyxl</dc:creator>
  <dc:description/>
  <dc:language>en-US</dc:language>
  <cp:lastModifiedBy/>
  <dcterms:modified xsi:type="dcterms:W3CDTF">2026-10-13T18:05:02Z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