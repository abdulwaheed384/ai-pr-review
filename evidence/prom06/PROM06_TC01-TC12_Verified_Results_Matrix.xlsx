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Independent AI Runs" sheetId="5" state="visible" r:id="rId7"/>
    <sheet name="AI Run Outcomes" sheetId="6" state="visible" r:id="rId8"/>
    <sheet name="AI Confirmed Findings" sheetId="7" state="visible" r:id="rId9"/>
    <sheet name="Scanner Results" sheetId="8" state="visible" r:id="rId10"/>
    <sheet name="Hybrid Runs (Condition C)" sheetId="9" state="visible" r:id="rId11"/>
    <sheet name="Timing" sheetId="10" state="visible" r:id="rId12"/>
    <sheet name="Remediation Validation" sheetId="11" state="visible" r:id="rId13"/>
    <sheet name="Decisions &amp; Caveats" sheetId="12" state="visible" r:id="rId14"/>
    <sheet name="Scoring Rules" sheetId="13" state="visible" r:id="rId15"/>
    <sheet name="AI Quality Scoring" sheetId="14" state="visible" r:id="rId16"/>
    <sheet name="Inter-rater Check" sheetId="15" state="visible" r:id="rId17"/>
    <sheet name="Draft Matrix (original)" sheetId="16" state="visible" r:id="rId18"/>
  </sheets>
  <definedNames>
    <definedName function="false" hidden="true" localSheetId="6" name="_xlnm._FilterDatabase" vbProcedure="false">'AI Confirmed Findings'!$A$5:$I$59</definedName>
    <definedName function="false" hidden="true" localSheetId="13" name="_xlnm._FilterDatabase" vbProcedure="false">'AI Quality Scoring'!$A$1:$R$38</definedName>
    <definedName function="false" hidden="true" localSheetId="5" name="_xlnm._FilterDatabase" vbProcedure="false">'AI Run Outcomes'!$A$4:$L$50</definedName>
    <definedName function="false" hidden="true" localSheetId="4"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<sst xmlns="http://schemas.openxmlformats.org/spreadsheetml/2006/main" count="2700" uniqueCount="1010">
  <si>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</si>
  <si>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</si>
  <si>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</si>
  <si>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</si>
  <si>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</si>
  <si>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</si>
  <si>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</si>
  <si>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</si>
  <si>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</si>
  <si>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</si>
  <si>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</si>
  <si>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</si>
  <si>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</si>
  <si>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</si>
  <si>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</si>
  <si>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</si>
  <si>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</si>
  <si>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</si>
  <si>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</si>
  <si>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</si>
  <si>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</si>
  <si>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</si>
  <si>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</si>
  <si>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</si>
  <si>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</si>
  <si>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</si>
  <si>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</si>
  <si>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</si>
  <si>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</si>
  <si>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</si>
  <si>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</si>
  <si>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</si>
  <si>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</si>
  <si>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</si>
  <si>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</si>
  <si>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</si>
  <si>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</si>
  <si>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</si>
  <si>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</si>
  <si>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</si>
  <si>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</si>
  <si>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</si>
  <si>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</si>
  <si>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</si>
  <si>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</si>
  <si>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</si>
  <si>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</si>
  <si>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</si>
  <si>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</si>
  <si>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</si>
  <si>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</si>
  <si>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</si>
  <si>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</si>
  <si>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</si>
  <si>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</si>
  <si>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</si>
  <si>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</si>
  <si>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</si>
  <si>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</si>
  <si>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</si>
  <si>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</si>
  <si>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</si>
  <si>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</si>
  <si>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</si>
  <si>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</si>
  <si>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</si>
  <si>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</si>
  <si>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</si>
  <si>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</si>
  <si>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</si>
  <si>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</si>
  <si>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</si>
  <si>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</si>
  <si>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</si>
  <si>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</si>
  <si>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</si>
  <si>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</si>
  <si>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</si>
  <si>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</si>
  <si>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</si>
  <si>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</si>
  <si>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</si>
  <si>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</si>
  <si>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</si>
  <si>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</si>
  <si>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</si>
  <si>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</si>
  <si>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</si>
  <si>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</si>
  <si>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</si>
  <si>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</si>
  <si>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</si>
  <si>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</si>
  <si>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</si>
  <si>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</si>
  <si>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</si>
  <si>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</si>
  <si>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</si>
  <si>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</si>
  <si>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</si>
  <si>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</si>
  <si>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</si>
  <si>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</si>
  <si>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</si>
  <si>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</si>
  <si>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</si>
  <si>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</si>
  <si>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</si>
  <si>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</si>
  <si>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</si>
  <si>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</si>
  <si>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</si>
  <si>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</si>
  <si>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</si>
  <si>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</si>
  <si>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</si>
  <si>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</si>
  <si>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</si>
  <si>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</si>
  <si>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</si>
  <si>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</si>
  <si>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</si>
  <si>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</si>
  <si>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</si>
  <si>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</si>
  <si>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</si>
  <si>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</si>
  <si>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</si>
  <si>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</si>
  <si>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</si>
  <si>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</si>
  <si>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</si>
  <si>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</si>
  <si>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</si>
  <si>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</si>
  <si>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</si>
  <si>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</si>
  <si>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</si>
  <si>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</si>
  <si>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</si>
  <si>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</si>
  <si>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</si>
  <si>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</si>
  <si>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</si>
  <si>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</si>
  <si>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</si>
  <si>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</si>
  <si>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</si>
  <si>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</si>
  <si>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</si>
  <si>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</si>
  <si>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</si>
  <si>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</si>
  <si>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</si>
  <si>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</si>
  <si>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</si>
  <si>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</si>
  <si>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</si>
  <si>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</si>
  <si>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</si>
  <si>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</si>
  <si>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</si>
  <si>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</si>
  <si>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</si>
  <si>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</si>
  <si>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</si>
  <si>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</si>
  <si>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</si>
  <si>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</si>
  <si>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</si>
  <si>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</si>
  <si>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</si>
  <si>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</si>
  <si>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</si>
  <si>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</si>
  <si>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</si>
  <si>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</si>
  <si>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</si>
  <si>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</si>
  <si>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</si>
  <si>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</si>
  <si>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</si>
  <si>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</si>
  <si>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</si>
  <si>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PR comments #82–#84 and are PROVISIONAL until the nine artefacts are downloaded and checked.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</si>
  <si>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</si>
  <si>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</si>
  <si>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</si>
  <si>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</si>
  <si>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</si>
  <si>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</si>
  <si>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</si>
  <si>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</si>
  <si>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</si>
  <si>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</si>
  <si>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Provisional</t>
  </si>
  <si>
    <t xml:space="preserve">Contributor at subscription vs documented Reader-on-RG need. Checkov 7/0, tfsec 0; AI HIGH 3/3.</t>
  </si>
  <si>
    <t xml:space="preserve">TC14</t>
  </si>
  <si>
    <t xml:space="preserve">Restricted SSH (remediated TC02). AI clean 2/3; LOW wildcard-destination finding 1/3 (counted at run level).</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</si>
  <si>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</si>
  <si>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</si>
  <si>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</si>
  <si>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</si>
  <si>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</si>
  <si>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</si>
  <si>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</si>
  <si>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</si>
  <si>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</si>
  <si>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</si>
  <si>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</si>
  <si>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</si>
  <si>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</si>
  <si>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</si>
  <si>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</si>
  <si>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</si>
  <si>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</si>
  <si>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</si>
  <si>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</si>
  <si>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</si>
  <si>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 (TC13–TC15 provisional)</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</si>
  <si>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</si>
  <si>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</si>
  <si>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</si>
  <si>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</si>
  <si>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</si>
  <si>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</si>
  <si>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</si>
  <si>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</si>
  <si>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 (TC13–TC15 provisional)</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</si>
  <si>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</si>
  <si>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</si>
  <si>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</si>
  <si>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</si>
  <si>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</si>
  <si>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</si>
  <si>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</si>
  <si>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</si>
  <si>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</si>
  <si>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</si>
  <si>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</si>
  <si>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</si>
  <si>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</si>
  <si>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</si>
  <si>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</si>
  <si>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</si>
  <si>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</si>
  <si>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</si>
  <si>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</si>
  <si>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</si>
  <si>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</si>
  <si>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</si>
  <si>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</si>
  <si>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</si>
  <si>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</si>
  <si>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</si>
  <si>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</si>
  <si>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</si>
  <si>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</si>
  <si>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</si>
  <si>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</si>
  <si>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</si>
  <si>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</si>
  <si>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</si>
  <si>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</si>
  <si>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</si>
  <si>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</si>
  <si>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</si>
  <si>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</si>
  <si>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</si>
  <si>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</si>
  <si>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</si>
  <si>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</si>
  <si>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</si>
  <si>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</si>
  <si>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</si>
  <si>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</si>
  <si>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</si>
  <si>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</si>
  <si>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</si>
  <si>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</si>
  <si>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</si>
  <si>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</si>
  <si>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</si>
  <si>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</si>
  <si>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</si>
  <si>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</si>
  <si>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</si>
  <si>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</si>
  <si>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</si>
  <si>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</si>
  <si>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</si>
  <si>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</si>
  <si>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</si>
  <si>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</si>
  <si>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</si>
  <si>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</si>
  <si>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</si>
  <si>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</si>
  <si>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</si>
  <si>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</si>
  <si>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</si>
  <si>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</si>
  <si>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</si>
  <si>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</si>
  <si>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</si>
  <si>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</si>
  <si>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</si>
  <si>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</si>
  <si>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</si>
  <si>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</si>
  <si>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</si>
  <si>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</si>
  <si>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</si>
  <si>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</si>
  <si>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</si>
  <si>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</si>
  <si>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</si>
  <si>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</si>
  <si>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</si>
  <si>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</si>
  <si>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</si>
  <si>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</si>
  <si>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</si>
  <si>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</si>
  <si>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</si>
  <si>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</si>
  <si>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</si>
  <si>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</si>
  <si>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</si>
  <si>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</si>
  <si>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</si>
  <si>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</si>
  <si>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</si>
  <si>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</si>
  <si>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</si>
  <si>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</si>
  <si>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</si>
  <si>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</si>
  <si>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</si>
  <si>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</si>
  <si>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</si>
  <si>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</si>
  <si>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</si>
  <si>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</si>
  <si>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</si>
  <si>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</si>
  <si>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</si>
  <si>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</si>
  <si>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</si>
  <si>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</si>
  <si>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</si>
  <si>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</si>
  <si>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</si>
  <si>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</si>
  <si>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</si>
  <si>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</si>
  <si>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</si>
  <si>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</si>
  <si>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</si>
  <si>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</si>
  <si>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</si>
  <si>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</si>
  <si>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</si>
  <si>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</si>
  <si>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</si>
  <si>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</si>
  <si>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</si>
  <si>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</si>
  <si>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</si>
  <si>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</si>
  <si>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</si>
  <si>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</si>
  <si>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</si>
  <si>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</si>
  <si>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</si>
  <si>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</si>
  <si>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</si>
  <si>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PR comments #82–#84 (blue, provisional until artefacts are downloaded).</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</si>
  <si>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</si>
  <si>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</si>
  <si>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</si>
  <si>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</si>
  <si>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</si>
  <si>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</si>
  <si>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</si>
  <si>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</si>
  <si>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</si>
  <si>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</si>
  <si>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</si>
  <si>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</si>
  <si>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</si>
  <si>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</si>
  <si>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</si>
  <si>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</si>
  <si>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</si>
  <si>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</si>
  <si>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</si>
  <si>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</si>
  <si>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</si>
  <si>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</si>
  <si>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</si>
  <si>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</si>
  <si>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</si>
  <si>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</si>
  <si>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</si>
  <si>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</si>
  <si>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</si>
  <si>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</si>
  <si>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</si>
  <si>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</si>
  <si>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</si>
  <si>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</si>
  <si>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</si>
  <si>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</si>
  <si>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</si>
  <si>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</si>
  <si>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</si>
  <si>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</si>
  <si>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</si>
  <si>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</si>
  <si>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</si>
  <si>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</si>
  <si>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</si>
  <si>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</si>
  <si>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</si>
  <si>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</si>
  <si>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</si>
  <si>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</si>
  <si>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</si>
  <si>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</si>
  <si>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</si>
  <si>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(TC01–TC12 artefacts) and PR comments #82–#84 (TC13–TC15; only CONFIRMED findings appear in PR comments, so these rows are complete for confirmed findings; run IDs for TC13–TC15 assigned by comment timestamp order).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</si>
  <si>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</si>
  <si>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</si>
  <si>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</si>
  <si>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</si>
  <si>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</si>
  <si>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</si>
  <si>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Source</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</si>
  <si>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</si>
  <si>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</si>
  <si>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</si>
  <si>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</si>
  <si>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</si>
  <si>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</si>
  <si>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</si>
  <si>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</si>
  <si>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</si>
  <si>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</si>
  <si>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</si>
  <si>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</si>
  <si>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</si>
  <si>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</si>
  <si>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</si>
  <si>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</si>
  <si>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</si>
  <si>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</si>
  <si>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</si>
  <si>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</si>
  <si>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</si>
  <si>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</si>
  <si>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</si>
  <si>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</si>
  <si>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</si>
  <si>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</si>
  <si>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</si>
  <si>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</si>
  <si>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</si>
  <si>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</si>
  <si>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</si>
  <si>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</si>
  <si>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</si>
  <si>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</si>
  <si>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</si>
  <si>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</si>
  <si>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</si>
  <si>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</si>
  <si>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</si>
  <si>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</si>
  <si>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</si>
  <si>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</si>
  <si>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</si>
  <si>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</si>
  <si>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</si>
  <si>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</si>
  <si>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</si>
  <si>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</si>
  <si>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</si>
  <si>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</si>
  <si>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</si>
  <si>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</si>
  <si>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</si>
  <si>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</si>
  <si>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</si>
  <si>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</si>
  <si>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</si>
  <si>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</si>
  <si>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</si>
  <si>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</si>
  <si>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PR #82 comment 2026-10-13T14:02:01Z</t>
  </si>
  <si>
    <t xml:space="preserve">Managed identity granted Contributor at subscription scope instead of Reader at resource group scope</t>
  </si>
  <si>
    <t xml:space="preserve">PR #82 comment 2026-10-13T14:02:36Z</t>
  </si>
  <si>
    <t xml:space="preserve">Managed identity granted Contributor at subscription scope; requirements specify Reader at resource-group scope</t>
  </si>
  <si>
    <t xml:space="preserve">PR #82 comment 2026-10-13T14:02:40Z</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</si>
  <si>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</si>
  <si>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</si>
  <si>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PR #83 comment 2026-10-13T14:02:14Z</t>
  </si>
  <si>
    <t xml:space="preserve">PR #83 comment 2026-10-13T14:02:38Z</t>
  </si>
  <si>
    <t xml:space="preserve">PR #83 comment 2026-10-13T14:02:57Z</t>
  </si>
  <si>
    <t xml:space="preserve">Hardcoded plaintext administrator password in Terraform variable default</t>
  </si>
  <si>
    <t xml:space="preserve">PR #84 comment 2026-10-13T14:02:15Z</t>
  </si>
  <si>
    <t xml:space="preserve">Hardcoded plaintext database password committed as a Terraform variable default</t>
  </si>
  <si>
    <t xml:space="preserve">PR #84 comment 2026-10-13T14:02:50Z</t>
  </si>
  <si>
    <t xml:space="preserve">Hardcoded plaintext password in Terraform variable default</t>
  </si>
  <si>
    <t xml:space="preserve">PR #84 comment 2026-10-13T14:02:52Z</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</si>
  <si>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</si>
  <si>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</si>
  <si>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</si>
  <si>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</si>
  <si>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</si>
  <si>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</si>
  <si>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</si>
  <si>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</si>
  <si>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</si>
  <si>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</si>
  <si>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</si>
  <si>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</si>
  <si>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</si>
  <si>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</si>
  <si>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</si>
  <si>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</si>
  <si>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</si>
  <si>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</si>
  <si>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</si>
  <si>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</si>
  <si>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</si>
  <si>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</si>
  <si>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</si>
  <si>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</si>
  <si>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</si>
  <si>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</si>
  <si>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</si>
  <si>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</si>
  <si>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</si>
  <si>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</si>
  <si>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</si>
  <si>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</si>
  <si>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</si>
  <si>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</si>
  <si>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</si>
  <si>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</si>
  <si>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</si>
  <si>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</si>
  <si>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</si>
  <si>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</si>
  <si>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</si>
  <si>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</si>
  <si>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</si>
  <si>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</si>
  <si>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</si>
  <si>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</si>
  <si>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</si>
  <si>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</si>
  <si>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</si>
  <si>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</si>
  <si>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</si>
  <si>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</si>
  <si>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</si>
  <si>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</si>
  <si>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</si>
  <si>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</si>
  <si>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</si>
  <si>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</si>
  <si>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</si>
  <si>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</si>
  <si>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</si>
  <si>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</si>
  <si>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</si>
  <si>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</si>
  <si>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</si>
  <si>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</si>
  <si>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</si>
  <si>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</si>
  <si>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</si>
  <si>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</si>
  <si>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</si>
  <si>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</si>
  <si>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</si>
  <si>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</si>
  <si>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</si>
  <si>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</si>
  <si>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</si>
  <si>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</si>
  <si>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</si>
  <si>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</si>
  <si>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</si>
  <si>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</si>
  <si>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</si>
  <si>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</si>
  <si>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</si>
  <si>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</si>
  <si>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</si>
  <si>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</si>
  <si>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</si>
  <si>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</si>
  <si>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</si>
  <si>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</si>
  <si>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</si>
  <si>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</si>
  <si>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</si>
  <si>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</si>
  <si>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</si>
  <si>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</si>
  <si>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</si>
  <si>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</si>
  <si>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</si>
  <si>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</si>
  <si>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</si>
  <si>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</si>
  <si>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</si>
  <si>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</si>
  <si>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</si>
  <si>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</si>
  <si>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</si>
  <si>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</si>
  <si>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</si>
  <si>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</si>
  <si>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</si>
  <si>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</si>
  <si>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</si>
  <si>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</si>
  <si>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</si>
  <si>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</si>
  <si>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</si>
  <si>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</si>
  <si>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</si>
  <si>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</si>
  <si>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</si>
  <si>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</si>
  <si>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</si>
  <si>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</si>
  <si>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</si>
  <si>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</si>
  <si>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</si>
  <si>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</si>
  <si>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</si>
  <si>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</si>
  <si>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</si>
  <si>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</si>
  <si>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</si>
  <si>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</si>
  <si>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</si>
  <si>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</si>
  <si>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</si>
  <si>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</si>
  <si>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</si>
  <si>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</si>
  <si>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</si>
  <si>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</si>
  <si>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</si>
  <si>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</si>
  <si>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</si>
  <si>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</si>
  <si>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</si>
  <si>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</si>
  <si>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</si>
  <si>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</si>
  <si>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</si>
  <si>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</si>
  <si>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</si>
  <si>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</si>
  <si>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</si>
  <si>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</si>
  <si>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</si>
  <si>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</si>
  <si>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</si>
  <si>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</si>
  <si>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</si>
  <si>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</si>
  <si>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</si>
  <si>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</si>
  <si>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</si>
  <si>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</si>
  <si>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</si>
  <si>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</si>
  <si>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</si>
  <si>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</si>
  <si>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</si>
  <si>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</si>
  <si>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</si>
  <si>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</si>
  <si>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</si>
  <si>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</si>
  <si>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</si>
  <si>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</si>
  <si>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</si>
  <si>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</si>
  <si>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</si>
  <si>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</si>
  <si>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</si>
  <si>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</si>
  <si>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</si>
  <si>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</si>
  <si>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</si>
  <si>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</si>
  <si>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</si>
  <si>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</si>
  <si>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</si>
  <si>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</si>
  <si>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</si>
  <si>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</si>
  <si>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</si>
  <si>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</si>
  <si>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</si>
  <si>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</si>
  <si>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</si>
  <si>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</si>
  <si>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</si>
  <si>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</si>
  <si>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</si>
  <si>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</si>
  <si>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</si>
  <si>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</si>
  <si>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</si>
  <si>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</si>
  <si>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</si>
  <si>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</si>
  <si>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</si>
  <si>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</si>
  <si>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</si>
  <si>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</si>
  <si>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</si>
  <si>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</si>
  <si>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</si>
  <si>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</si>
  <si>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</si>
  <si>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</si>
  <si>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</si>
  <si>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</si>
  <si>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</si>
  <si>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</si>
  <si>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</si>
  <si>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</si>
  <si>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</si>
  <si>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</si>
  <si>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</si>
  <si>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</si>
  <si>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</si>
  <si>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</si>
  <si>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</si>
  <si>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</si>
  <si>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</si>
  <si>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</si>
  <si>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</si>
  <si>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</si>
  <si>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</si>
  <si>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</si>
  <si>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</si>
  <si>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</si>
  <si>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</si>
  <si>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</si>
  <si>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</si>
  <si>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</si>
  <si>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</si>
  <si>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</si>
  <si>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</si>
  <si>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</si>
  <si>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</si>
  <si>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</si>
  <si>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</si>
  <si>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</si>
  <si>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</si>
  <si>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</si>
  <si>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</si>
  <si>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</si>
  <si>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</si>
  <si>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</si>
  <si>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</si>
  <si>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</si>
  <si>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</si>
  <si>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</si>
  <si>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</si>
  <si>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</si>
  <si>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</si>
  <si>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</si>
  <si>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</si>
  <si>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</si>
  <si>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</si>
  <si>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</si>
  <si>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</si>
  <si>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</si>
  <si>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</si>
  <si>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</si>
  <si>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</si>
  <si>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</si>
  <si>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</si>
  <si>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</si>
  <si>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</si>
  <si>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</si>
  <si>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</si>
  <si>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</si>
  <si>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</si>
  <si>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</si>
  <si>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</si>
  <si>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</si>
  <si>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(Terraform Validate step failed;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</si>
  <si>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</si>
  <si>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</si>
  <si>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</si>
  <si>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</si>
  <si>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</si>
  <si>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</si>
  <si>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</si>
  <si>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</si>
  <si>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</si>
  <si>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</si>
  <si>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</si>
  <si>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</si>
  <si>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</si>
  <si>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</si>
  <si>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</si>
  <si>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</si>
  <si>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</si>
  <si>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</si>
  <si>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</si>
  <si>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</si>
  <si>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</si>
  <si>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</si>
  <si>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</si>
  <si>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</si>
  <si>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</si>
  <si>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</si>
  <si>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</si>
  <si>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</si>
  <si>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</si>
  <si>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</si>
  <si>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</si>
  <si>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</si>
  <si>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</si>
  <si>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To do (AB): fetch the validate error text with  gh run view 38412955313 -R abdulwaheed384/ai-pr-review --log-failed  (log download is blocked for the assistant). Expected: unsupported 'tags' argument on azurerm_role_definition — not yet seen.</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</si>
  <si>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</si>
  <si>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</si>
  <si>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</si>
  <si>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</si>
  <si>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</si>
  <si>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</si>
  <si>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</si>
  <si>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</si>
  <si>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</si>
  <si>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</si>
  <si>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</si>
  <si>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</si>
  <si>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</si>
  <si>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</si>
  <si>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</si>
  <si>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</si>
  <si>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</si>
  <si>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</si>
  <si>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</si>
  <si>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</si>
  <si>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</si>
  <si>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</si>
  <si>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</si>
  <si>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</si>
  <si>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</si>
  <si>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</si>
  <si>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</si>
  <si>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</si>
  <si>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</si>
  <si>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</si>
  <si>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</si>
  <si>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</si>
  <si>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</si>
  <si>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</si>
  <si>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</si>
  <si>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</si>
  <si>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</si>
  <si>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</si>
  <si>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</si>
  <si>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</si>
  <si>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</si>
  <si>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</si>
  <si>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</si>
  <si>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</si>
  <si>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</si>
  <si>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</si>
  <si>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</si>
  <si>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</si>
  <si>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</si>
  <si>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</si>
  <si>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</si>
  <si>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</si>
  <si>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</si>
  <si>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</si>
  <si>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</si>
  <si>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</si>
  <si>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</si>
  <si>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</si>
  <si>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</si>
  <si>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are scored on all six dimensions (max 12). Non-vulnerable cases (TC01, TC12)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</si>
  <si>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</si>
  <si>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</si>
  <si>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</si>
  <si>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To mitigate, AB should independently score the stratified sample on 'Inter-rater Check' before results are reported; agreement is calculated there.</t>
  </si>
  <si>
    <t xml:space="preserve">6. TC13–TC15 (added 13 Oct 2026) are not yet scored: their full ai_output.json artefacts still need to be downloaded.</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</si>
  <si>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</si>
  <si>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</si>
  <si>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</si>
  <si>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</si>
  <si>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</si>
  <si>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</si>
  <si>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</si>
  <si>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</si>
  <si>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</si>
  <si>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</si>
  <si>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</si>
  <si>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</si>
  <si>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</si>
  <si>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</si>
  <si>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</si>
  <si>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</si>
  <si>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</si>
  <si>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</si>
  <si>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</si>
  <si>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</si>
  <si>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</si>
  <si>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</si>
  <si>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</si>
  <si>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</si>
  <si>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</si>
  <si>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</si>
  <si>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</si>
  <si>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</si>
  <si>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</si>
  <si>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</si>
  <si>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</si>
  <si>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</si>
  <si>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</si>
  <si>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</si>
  <si>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</si>
  <si>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</si>
  <si>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</si>
  <si>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</si>
  <si>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</si>
  <si>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</si>
  <si>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Claims the unused local would appear in state/plan — inaccurate for an unreferenced local. Remediation (Key Vault / sensitive variable, rotate) correct.</t>
  </si>
  <si>
    <t xml:space="preserve">As run 1, plus mapped to SEC-001 (public exposure) —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</si>
  <si>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</si>
  <si>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</si>
  <si>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</si>
  <si>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</si>
  <si>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</si>
  <si>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</si>
  <si>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</si>
  <si>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</si>
  <si>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</si>
  <si>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</si>
  <si>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</si>
  <si>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Blue = scorer input (0–2). Totals and percentages are formulas. Source: ai_output.json in each prom06-INDEPENDENT-&lt;run_id&gt; artefact; rules on 'Scoring Rules'.</t>
  </si>
  <si>
    <t xml:space="preserve">Mean — vulnerable runs (TC02–TC11)</t>
  </si>
  <si>
    <t xml:space="preserve">Mean — non-vulnerable runs (TC01, TC12)</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</si>
  <si>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</si>
  <si>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</si>
  <si>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</si>
  <si>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</si>
  <si>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</si>
  <si>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</si>
  <si>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</si>
  <si>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</si>
  <si>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</si>
  <si>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</si>
  <si>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Inter-rater check — AB to score independently</t>
  </si>
  <si>
    <t xml:space="preserve">How to use: before looking at the 'AI Quality Scoring' sheet, open each run's ai_output.json (or PR comment) and the ground truth, apply 'Scoring Rules', and type your 0–2 scores in the yellow cells (columns D–I; leave I/R/C blank for TC01/TC12). Agreement updates automatically. Sample: 10 of 37 runs, stratified to include clean, partial, failed and false-positive cases.</t>
  </si>
  <si>
    <t xml:space="preserve">Example of the expected format (not part of the sample): TC02 run 1 → D 2, E 2, I 2, R 2, C 2, U 2.</t>
  </si>
  <si>
    <t xml:space="preserve">AB: D</t>
  </si>
  <si>
    <t xml:space="preserve">AB: E</t>
  </si>
  <si>
    <t xml:space="preserve">AB: I</t>
  </si>
  <si>
    <t xml:space="preserve">AB: R</t>
  </si>
  <si>
    <t xml:space="preserve">AB: C</t>
  </si>
  <si>
    <t xml:space="preserve">AB: U</t>
  </si>
  <si>
    <t xml:space="preserve">AI scorer: D</t>
  </si>
  <si>
    <t xml:space="preserve">Exact matches</t>
  </si>
  <si>
    <t xml:space="preserve">Dimensions scored</t>
  </si>
  <si>
    <t xml:space="preserve">Within 1 point</t>
  </si>
  <si>
    <t xml:space="preserve">Exact agreement</t>
  </si>
  <si>
    <t xml:space="preserve">Agreement within 1 point</t>
  </si>
  <si>
    <t xml:space="preserve">Green = linked from 'AI Quality Scoring'. Discuss and record any disagreement &gt; 1 point before reporting; do not overwrite the original AI-scorer values.</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</si>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</sst>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false" outlineLevel="0" collapsed="false">
      <c r="A12" s="5" t="s">
        <v>10</v>
      </c>
    </row>
    <row r="13" customFormat="false" ht="15" hidden="false" customHeight="false" outlineLevel="0" collapsed="false">
      <c r="A13" s="6" t="s">
        <v>11</v>
      </c>
    </row>
    <row r="14" customFormat="false" ht="15" hidden="false" customHeight="false" outlineLevel="0" collapsed="false">
      <c r="A14" s="6" t="s">
        <v>12</v>
      </c>
    </row>
    <row r="15" customFormat="false" ht="15" hidden="false" customHeight="false" outlineLevel="0" collapsed="false">
      <c r="A15" s="6" t="s">
        <v>13</v>
      </c>
    </row>
    <row r="16" customFormat="false" ht="15" hidden="false" customHeight="false" outlineLevel="0" collapsed="false">
      <c r="A16" s="6" t="s">
        <v>14</v>
      </c>
    </row>
    <row r="17" customFormat="false" ht="15" hidden="false" customHeight="false" outlineLevel="0" collapsed="false">
      <c r="A17" s="6" t="s">
        <v>15</v>
      </c>
    </row>
    <row r="18" customFormat="false" ht="15" hidden="false" customHeight="fals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1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6" t="s">
        <v>182</v>
      </c>
      <c r="B21" s="16"/>
      <c r="C21" s="16"/>
      <c r="D21" s="16"/>
      <c r="E21" s="16"/>
      <c r="F21" s="16"/>
    </row>
    <row r="22" customFormat="false" ht="15" hidden="false" customHeight="true" outlineLevel="0" collapsed="false">
      <c r="A22" s="16"/>
      <c r="B22" s="16"/>
      <c r="C22" s="16"/>
      <c r="D22" s="16"/>
      <c r="E22" s="16"/>
      <c r="F22" s="16"/>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4" min="3" style="0" width="11"/>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60"/>
  </cols>
  <sheetData>
    <row r="1" customFormat="false" ht="17.35" hidden="false" customHeight="false" outlineLevel="0" collapsed="false">
      <c r="A1" s="17" t="s">
        <v>183</v>
      </c>
    </row>
    <row r="2" customFormat="false" ht="45" hidden="false" customHeight="true" outlineLevel="0" collapsed="false">
      <c r="A2" s="18" t="s">
        <v>184</v>
      </c>
      <c r="B2" s="18"/>
      <c r="C2" s="18"/>
      <c r="D2" s="18"/>
      <c r="E2" s="18"/>
      <c r="F2" s="18"/>
      <c r="G2" s="18"/>
      <c r="H2" s="18"/>
    </row>
    <row r="4" customFormat="false" ht="26.85" hidden="false" customHeight="false" outlineLevel="0" collapsed="false">
      <c r="A4" s="19" t="s">
        <v>185</v>
      </c>
      <c r="B4" s="19" t="s">
        <v>20</v>
      </c>
      <c r="C4" s="19" t="s">
        <v>153</v>
      </c>
      <c r="D4" s="19" t="s">
        <v>154</v>
      </c>
      <c r="E4" s="19" t="s">
        <v>176</v>
      </c>
      <c r="F4" s="19" t="s">
        <v>155</v>
      </c>
      <c r="G4" s="19" t="s">
        <v>186</v>
      </c>
      <c r="H4" s="19" t="s">
        <v>187</v>
      </c>
    </row>
    <row r="5" customFormat="false" ht="15" hidden="false" customHeight="false" outlineLevel="0" collapsed="false">
      <c r="A5" s="20" t="str">
        <f aca="false">'Verified Matrix'!A2</f>
        <v>TC01</v>
      </c>
      <c r="B5" s="20" t="str">
        <f aca="false">'Verified Matrix'!D2</f>
        <v>Secure</v>
      </c>
      <c r="C5" s="20" t="str">
        <f aca="false">'Verified Matrix'!F2</f>
        <v>TN</v>
      </c>
      <c r="D5" s="20" t="str">
        <f aca="false">'Verified Matrix'!H2</f>
        <v>TN</v>
      </c>
      <c r="E5" s="21" t="str">
        <f aca="false">IF(OR(C5="TP",D5="TP"),"TP",IF(B5="Vulnerable","FN",IF(OR(C5="CONTEXT",D5="CONTEXT"),"CONTEXT",IF(OR(C5="FP",D5="FP"),"FP","TN"))))</f>
        <v>TN</v>
      </c>
      <c r="F5" s="20" t="str">
        <f aca="false">'Verified Matrix'!J2</f>
        <v>TN</v>
      </c>
      <c r="G5" s="22" t="s">
        <v>188</v>
      </c>
      <c r="H5" s="23" t="s">
        <v>189</v>
      </c>
    </row>
    <row r="6" customFormat="false" ht="15" hidden="false" customHeight="false" outlineLevel="0" collapsed="false">
      <c r="A6" s="20" t="str">
        <f aca="false">'Verified Matrix'!A3</f>
        <v>TC02</v>
      </c>
      <c r="B6" s="20" t="str">
        <f aca="false">'Verified Matrix'!D3</f>
        <v>Vulnerable</v>
      </c>
      <c r="C6" s="20" t="str">
        <f aca="false">'Verified Matrix'!F3</f>
        <v>FN</v>
      </c>
      <c r="D6" s="20" t="str">
        <f aca="false">'Verified Matrix'!H3</f>
        <v>TP</v>
      </c>
      <c r="E6" s="21" t="str">
        <f aca="false">IF(OR(C6="TP",D6="TP"),"TP",IF(B6="Vulnerable","FN",IF(OR(C6="CONTEXT",D6="CONTEXT"),"CONTEXT",IF(OR(C6="FP",D6="FP"),"FP","TN"))))</f>
        <v>TP</v>
      </c>
      <c r="F6" s="20" t="str">
        <f aca="false">'Verified Matrix'!J3</f>
        <v>TP</v>
      </c>
      <c r="G6" s="22" t="s">
        <v>188</v>
      </c>
      <c r="H6" s="23"/>
    </row>
    <row r="7" customFormat="false" ht="15" hidden="false" customHeight="false" outlineLevel="0" collapsed="false">
      <c r="A7" s="20" t="str">
        <f aca="false">'Verified Matrix'!A4</f>
        <v>TC03</v>
      </c>
      <c r="B7" s="20" t="str">
        <f aca="false">'Verified Matrix'!D4</f>
        <v>Vulnerable</v>
      </c>
      <c r="C7" s="20" t="str">
        <f aca="false">'Verified Matrix'!F4</f>
        <v>FN</v>
      </c>
      <c r="D7" s="20" t="str">
        <f aca="false">'Verified Matrix'!H4</f>
        <v>TP</v>
      </c>
      <c r="E7" s="21" t="str">
        <f aca="false">IF(OR(C7="TP",D7="TP"),"TP",IF(B7="Vulnerable","FN",IF(OR(C7="CONTEXT",D7="CONTEXT"),"CONTEXT",IF(OR(C7="FP",D7="FP"),"FP","TN"))))</f>
        <v>TP</v>
      </c>
      <c r="F7" s="20" t="str">
        <f aca="false">'Verified Matrix'!J4</f>
        <v>TP</v>
      </c>
      <c r="G7" s="22" t="s">
        <v>188</v>
      </c>
      <c r="H7" s="23"/>
    </row>
    <row r="8" customFormat="false" ht="15" hidden="false" customHeight="false" outlineLevel="0" collapsed="false">
      <c r="A8" s="20" t="str">
        <f aca="false">'Verified Matrix'!A5</f>
        <v>TC04</v>
      </c>
      <c r="B8" s="20" t="str">
        <f aca="false">'Verified Matrix'!D5</f>
        <v>Vulnerable</v>
      </c>
      <c r="C8" s="20" t="str">
        <f aca="false">'Verified Matrix'!F5</f>
        <v>FN</v>
      </c>
      <c r="D8" s="20" t="str">
        <f aca="false">'Verified Matrix'!H5</f>
        <v>TP</v>
      </c>
      <c r="E8" s="21" t="str">
        <f aca="false">IF(OR(C8="TP",D8="TP"),"TP",IF(B8="Vulnerable","FN",IF(OR(C8="CONTEXT",D8="CONTEXT"),"CONTEXT",IF(OR(C8="FP",D8="FP"),"FP","TN"))))</f>
        <v>TP</v>
      </c>
      <c r="F8" s="20" t="str">
        <f aca="false">'Verified Matrix'!J5</f>
        <v>TP</v>
      </c>
      <c r="G8" s="22" t="s">
        <v>188</v>
      </c>
      <c r="H8" s="23"/>
    </row>
    <row r="9" customFormat="false" ht="15" hidden="false" customHeight="false" outlineLevel="0" collapsed="false">
      <c r="A9" s="20" t="str">
        <f aca="false">'Verified Matrix'!A6</f>
        <v>TC05</v>
      </c>
      <c r="B9" s="20" t="str">
        <f aca="false">'Verified Matrix'!D6</f>
        <v>Vulnerable</v>
      </c>
      <c r="C9" s="20" t="str">
        <f aca="false">'Verified Matrix'!F6</f>
        <v>TP</v>
      </c>
      <c r="D9" s="20" t="str">
        <f aca="false">'Verified Matrix'!H6</f>
        <v>FN</v>
      </c>
      <c r="E9" s="21" t="str">
        <f aca="false">IF(OR(C9="TP",D9="TP"),"TP",IF(B9="Vulnerable","FN",IF(OR(C9="CONTEXT",D9="CONTEXT"),"CONTEXT",IF(OR(C9="FP",D9="FP"),"FP","TN"))))</f>
        <v>TP</v>
      </c>
      <c r="F9" s="20" t="str">
        <f aca="false">'Verified Matrix'!J6</f>
        <v>TP</v>
      </c>
      <c r="G9" s="22" t="s">
        <v>188</v>
      </c>
      <c r="H9" s="23"/>
    </row>
    <row r="10" customFormat="false" ht="15" hidden="false" customHeight="false" outlineLevel="0" collapsed="false">
      <c r="A10" s="20" t="str">
        <f aca="false">'Verified Matrix'!A7</f>
        <v>TC06</v>
      </c>
      <c r="B10" s="20" t="str">
        <f aca="false">'Verified Matrix'!D7</f>
        <v>Vulnerable</v>
      </c>
      <c r="C10" s="20" t="str">
        <f aca="false">'Verified Matrix'!F7</f>
        <v>TP</v>
      </c>
      <c r="D10" s="20" t="str">
        <f aca="false">'Verified Matrix'!H7</f>
        <v>FN</v>
      </c>
      <c r="E10" s="21" t="str">
        <f aca="false">IF(OR(C10="TP",D10="TP"),"TP",IF(B10="Vulnerable","FN",IF(OR(C10="CONTEXT",D10="CONTEXT"),"CONTEXT",IF(OR(C10="FP",D10="FP"),"FP","TN"))))</f>
        <v>TP</v>
      </c>
      <c r="F10" s="20" t="str">
        <f aca="false">'Verified Matrix'!J7</f>
        <v>TP</v>
      </c>
      <c r="G10" s="22" t="s">
        <v>188</v>
      </c>
      <c r="H10" s="23"/>
    </row>
    <row r="11" customFormat="false" ht="15" hidden="false" customHeight="false" outlineLevel="0" collapsed="false">
      <c r="A11" s="20" t="str">
        <f aca="false">'Verified Matrix'!A8</f>
        <v>TC07</v>
      </c>
      <c r="B11" s="20" t="str">
        <f aca="false">'Verified Matrix'!D8</f>
        <v>Vulnerable</v>
      </c>
      <c r="C11" s="20" t="str">
        <f aca="false">'Verified Matrix'!F8</f>
        <v>TP</v>
      </c>
      <c r="D11" s="20" t="str">
        <f aca="false">'Verified Matrix'!H8</f>
        <v>TP</v>
      </c>
      <c r="E11" s="21" t="str">
        <f aca="false">IF(OR(C11="TP",D11="TP"),"TP",IF(B11="Vulnerable","FN",IF(OR(C11="CONTEXT",D11="CONTEXT"),"CONTEXT",IF(OR(C11="FP",D11="FP"),"FP","TN"))))</f>
        <v>TP</v>
      </c>
      <c r="F11" s="20" t="str">
        <f aca="false">'Verified Matrix'!J8</f>
        <v>TP</v>
      </c>
      <c r="G11" s="22" t="s">
        <v>188</v>
      </c>
      <c r="H11" s="23"/>
    </row>
    <row r="12" customFormat="false" ht="15" hidden="false" customHeight="false" outlineLevel="0" collapsed="false">
      <c r="A12" s="20" t="str">
        <f aca="false">'Verified Matrix'!A9</f>
        <v>TC08</v>
      </c>
      <c r="B12" s="20" t="str">
        <f aca="false">'Verified Matrix'!D9</f>
        <v>Vulnerable</v>
      </c>
      <c r="C12" s="20" t="str">
        <f aca="false">'Verified Matrix'!F9</f>
        <v>FN</v>
      </c>
      <c r="D12" s="20" t="str">
        <f aca="false">'Verified Matrix'!H9</f>
        <v>FN</v>
      </c>
      <c r="E12" s="21" t="str">
        <f aca="false">IF(OR(C12="TP",D12="TP"),"TP",IF(B12="Vulnerable","FN",IF(OR(C12="CONTEXT",D12="CONTEXT"),"CONTEXT",IF(OR(C12="FP",D12="FP"),"FP","TN"))))</f>
        <v>FN</v>
      </c>
      <c r="F12" s="20" t="str">
        <f aca="false">'Verified Matrix'!J9</f>
        <v>PARTIAL</v>
      </c>
      <c r="G12" s="22" t="s">
        <v>188</v>
      </c>
      <c r="H12" s="23" t="s">
        <v>190</v>
      </c>
    </row>
    <row r="13" customFormat="false" ht="15" hidden="false" customHeight="false" outlineLevel="0" collapsed="false">
      <c r="A13" s="20" t="str">
        <f aca="false">'Verified Matrix'!A10</f>
        <v>TC09</v>
      </c>
      <c r="B13" s="20" t="str">
        <f aca="false">'Verified Matrix'!D10</f>
        <v>Vulnerable</v>
      </c>
      <c r="C13" s="20" t="str">
        <f aca="false">'Verified Matrix'!F10</f>
        <v>FN</v>
      </c>
      <c r="D13" s="20" t="str">
        <f aca="false">'Verified Matrix'!H10</f>
        <v>FN</v>
      </c>
      <c r="E13" s="21" t="str">
        <f aca="false">IF(OR(C13="TP",D13="TP"),"TP",IF(B13="Vulnerable","FN",IF(OR(C13="CONTEXT",D13="CONTEXT"),"CONTEXT",IF(OR(C13="FP",D13="FP"),"FP","TN"))))</f>
        <v>FN</v>
      </c>
      <c r="F13" s="20" t="str">
        <f aca="false">'Verified Matrix'!J10</f>
        <v>TP</v>
      </c>
      <c r="G13" s="22" t="s">
        <v>188</v>
      </c>
      <c r="H13" s="23" t="s">
        <v>191</v>
      </c>
    </row>
    <row r="14" customFormat="false" ht="15" hidden="false" customHeight="false" outlineLevel="0" collapsed="false">
      <c r="A14" s="20" t="str">
        <f aca="false">'Verified Matrix'!A11</f>
        <v>TC10</v>
      </c>
      <c r="B14" s="20" t="str">
        <f aca="false">'Verified Matrix'!D11</f>
        <v>Vulnerable</v>
      </c>
      <c r="C14" s="20" t="str">
        <f aca="false">'Verified Matrix'!F11</f>
        <v>TP</v>
      </c>
      <c r="D14" s="20" t="str">
        <f aca="false">'Verified Matrix'!H11</f>
        <v>FN</v>
      </c>
      <c r="E14" s="21" t="str">
        <f aca="false">IF(OR(C14="TP",D14="TP"),"TP",IF(B14="Vulnerable","FN",IF(OR(C14="CONTEXT",D14="CONTEXT"),"CONTEXT",IF(OR(C14="FP",D14="FP"),"FP","TN"))))</f>
        <v>TP</v>
      </c>
      <c r="F14" s="20" t="str">
        <f aca="false">'Verified Matrix'!J11</f>
        <v>TP</v>
      </c>
      <c r="G14" s="22" t="s">
        <v>188</v>
      </c>
      <c r="H14" s="23"/>
    </row>
    <row r="15" customFormat="false" ht="15" hidden="false" customHeight="false" outlineLevel="0" collapsed="false">
      <c r="A15" s="20" t="str">
        <f aca="false">'Verified Matrix'!A12</f>
        <v>TC11</v>
      </c>
      <c r="B15" s="20" t="str">
        <f aca="false">'Verified Matrix'!D12</f>
        <v>Vulnerable</v>
      </c>
      <c r="C15" s="20" t="str">
        <f aca="false">'Verified Matrix'!F12</f>
        <v>TP</v>
      </c>
      <c r="D15" s="20" t="str">
        <f aca="false">'Verified Matrix'!H12</f>
        <v>FN</v>
      </c>
      <c r="E15" s="21" t="str">
        <f aca="false">IF(OR(C15="TP",D15="TP"),"TP",IF(B15="Vulnerable","FN",IF(OR(C15="CONTEXT",D15="CONTEXT"),"CONTEXT",IF(OR(C15="FP",D15="FP"),"FP","TN"))))</f>
        <v>TP</v>
      </c>
      <c r="F15" s="20" t="str">
        <f aca="false">'Verified Matrix'!J12</f>
        <v>TP</v>
      </c>
      <c r="G15" s="22" t="s">
        <v>188</v>
      </c>
      <c r="H15" s="23" t="s">
        <v>192</v>
      </c>
    </row>
    <row r="16" customFormat="false" ht="15" hidden="false" customHeight="false" outlineLevel="0" collapsed="false">
      <c r="A16" s="20" t="str">
        <f aca="false">'Verified Matrix'!A13</f>
        <v>TC12</v>
      </c>
      <c r="B16" s="20" t="str">
        <f aca="false">'Verified Matrix'!D13</f>
        <v>Legitimate</v>
      </c>
      <c r="C16" s="20" t="str">
        <f aca="false">'Verified Matrix'!F13</f>
        <v>TN</v>
      </c>
      <c r="D16" s="20" t="str">
        <f aca="false">'Verified Matrix'!H13</f>
        <v>CONTEXT</v>
      </c>
      <c r="E16" s="21" t="str">
        <f aca="false">IF(OR(C16="TP",D16="TP"),"TP",IF(B16="Vulnerable","FN",IF(OR(C16="CONTEXT",D16="CONTEXT"),"CONTEXT",IF(OR(C16="FP",D16="FP"),"FP","TN"))))</f>
        <v>CONTEXT</v>
      </c>
      <c r="F16" s="20" t="str">
        <f aca="false">'Verified Matrix'!J13</f>
        <v>CONTEXT</v>
      </c>
      <c r="G16" s="22" t="s">
        <v>188</v>
      </c>
      <c r="H16" s="23" t="s">
        <v>193</v>
      </c>
    </row>
    <row r="17" customFormat="false" ht="26.85" hidden="false" customHeight="false" outlineLevel="0" collapsed="false">
      <c r="A17" s="24" t="s">
        <v>194</v>
      </c>
      <c r="B17" s="24" t="s">
        <v>48</v>
      </c>
      <c r="C17" s="24" t="s">
        <v>50</v>
      </c>
      <c r="D17" s="24" t="s">
        <v>50</v>
      </c>
      <c r="E17" s="21" t="str">
        <f aca="false">IF(OR(C17="TP",D17="TP"),"TP",IF(B17="Vulnerable","FN",IF(OR(C17="CONTEXT",D17="CONTEXT"),"CONTEXT",IF(OR(C17="FP",D17="FP"),"FP","TN"))))</f>
        <v>FN</v>
      </c>
      <c r="F17" s="24" t="s">
        <v>52</v>
      </c>
      <c r="G17" s="22" t="s">
        <v>195</v>
      </c>
      <c r="H17" s="8" t="s">
        <v>196</v>
      </c>
    </row>
    <row r="18" customFormat="false" ht="26.85" hidden="false" customHeight="false" outlineLevel="0" collapsed="false">
      <c r="A18" s="24" t="s">
        <v>197</v>
      </c>
      <c r="B18" s="24" t="s">
        <v>35</v>
      </c>
      <c r="C18" s="24" t="s">
        <v>37</v>
      </c>
      <c r="D18" s="24" t="s">
        <v>37</v>
      </c>
      <c r="E18" s="21" t="str">
        <f aca="false">IF(OR(C18="TP",D18="TP"),"TP",IF(B18="Vulnerable","FN",IF(OR(C18="CONTEXT",D18="CONTEXT"),"CONTEXT",IF(OR(C18="FP",D18="FP"),"FP","TN"))))</f>
        <v>TN</v>
      </c>
      <c r="F18" s="24" t="s">
        <v>37</v>
      </c>
      <c r="G18" s="22" t="s">
        <v>195</v>
      </c>
      <c r="H18" s="8" t="s">
        <v>198</v>
      </c>
    </row>
    <row r="19" customFormat="false" ht="26.85" hidden="false" customHeight="false" outlineLevel="0" collapsed="false">
      <c r="A19" s="24" t="s">
        <v>199</v>
      </c>
      <c r="B19" s="24" t="s">
        <v>48</v>
      </c>
      <c r="C19" s="24" t="s">
        <v>50</v>
      </c>
      <c r="D19" s="24" t="s">
        <v>50</v>
      </c>
      <c r="E19" s="21" t="str">
        <f aca="false">IF(OR(C19="TP",D19="TP"),"TP",IF(B19="Vulnerable","FN",IF(OR(C19="CONTEXT",D19="CONTEXT"),"CONTEXT",IF(OR(C19="FP",D19="FP"),"FP","TN"))))</f>
        <v>FN</v>
      </c>
      <c r="F19" s="24" t="s">
        <v>52</v>
      </c>
      <c r="G19" s="22" t="s">
        <v>195</v>
      </c>
      <c r="H19" s="8" t="s">
        <v>200</v>
      </c>
    </row>
    <row r="22" customFormat="false" ht="17.35" hidden="false" customHeight="false" outlineLevel="0" collapsed="false">
      <c r="A22" s="17" t="s">
        <v>201</v>
      </c>
    </row>
    <row r="23" customFormat="false" ht="26.85" hidden="false" customHeight="false" outlineLevel="0" collapsed="false">
      <c r="A23" s="19" t="s">
        <v>152</v>
      </c>
      <c r="B23" s="19"/>
      <c r="C23" s="19" t="s">
        <v>153</v>
      </c>
      <c r="D23" s="19" t="s">
        <v>154</v>
      </c>
      <c r="E23" s="19" t="s">
        <v>176</v>
      </c>
      <c r="F23" s="19" t="s">
        <v>155</v>
      </c>
      <c r="G23" s="19"/>
      <c r="H23" s="19" t="s">
        <v>202</v>
      </c>
    </row>
    <row r="24" customFormat="false" ht="15" hidden="false" customHeight="false" outlineLevel="0" collapsed="false">
      <c r="A24" s="5" t="s">
        <v>203</v>
      </c>
      <c r="C24" s="1" t="n">
        <f aca="false">COUNTIF($B$5:$B$16,"Vulnerable")</f>
        <v>10</v>
      </c>
      <c r="D24" s="1" t="n">
        <f aca="false">COUNTIF($B$5:$B$16,"Vulnerable")</f>
        <v>10</v>
      </c>
      <c r="E24" s="1" t="n">
        <f aca="false">COUNTIF($B$5:$B$16,"Vulnerable")</f>
        <v>10</v>
      </c>
      <c r="F24" s="1" t="n">
        <f aca="false">COUNTIF($B$5:$B$16,"Vulnerable")</f>
        <v>10</v>
      </c>
      <c r="H24" s="25" t="s">
        <v>204</v>
      </c>
    </row>
    <row r="25" customFormat="false" ht="15" hidden="false" customHeight="false" outlineLevel="0" collapsed="false">
      <c r="A25" s="5" t="s">
        <v>205</v>
      </c>
      <c r="C25" s="1" t="n">
        <f aca="false">COUNTIFS($B$5:$B$16,"Vulnerable",C$5:C$16,"TP")</f>
        <v>5</v>
      </c>
      <c r="D25" s="1" t="n">
        <f aca="false">COUNTIFS($B$5:$B$16,"Vulnerable",D$5:D$16,"TP")</f>
        <v>4</v>
      </c>
      <c r="E25" s="1" t="n">
        <f aca="false">COUNTIFS($B$5:$B$16,"Vulnerable",E$5:E$16,"TP")</f>
        <v>8</v>
      </c>
      <c r="F25" s="1" t="n">
        <f aca="false">COUNTIFS($B$5:$B$16,"Vulnerable",F$5:F$16,"TP")</f>
        <v>9</v>
      </c>
      <c r="H25" s="25" t="s">
        <v>206</v>
      </c>
    </row>
    <row r="26" customFormat="false" ht="15" hidden="false" customHeight="false" outlineLevel="0" collapsed="false">
      <c r="A26" s="5" t="s">
        <v>207</v>
      </c>
      <c r="C26" s="1" t="n">
        <f aca="false">COUNTIFS($B$5:$B$16,"Vulnerable",C$5:C$16,"PARTIAL")</f>
        <v>0</v>
      </c>
      <c r="D26" s="1" t="n">
        <f aca="false">COUNTIFS($B$5:$B$16,"Vulnerable",D$5:D$16,"PARTIAL")</f>
        <v>0</v>
      </c>
      <c r="E26" s="1" t="n">
        <f aca="false">COUNTIFS($B$5:$B$16,"Vulnerable",E$5:E$16,"PARTIAL")</f>
        <v>0</v>
      </c>
      <c r="F26" s="1" t="n">
        <f aca="false">COUNTIFS($B$5:$B$16,"Vulnerable",F$5:F$16,"PARTIAL")</f>
        <v>1</v>
      </c>
      <c r="H26" s="25" t="s">
        <v>208</v>
      </c>
    </row>
    <row r="27" customFormat="false" ht="15" hidden="false" customHeight="false" outlineLevel="0" collapsed="false">
      <c r="A27" s="5" t="s">
        <v>209</v>
      </c>
      <c r="C27" s="1" t="n">
        <f aca="false">COUNTIFS($B$5:$B$16,"Vulnerable",C$5:C$16,"FN")</f>
        <v>5</v>
      </c>
      <c r="D27" s="1" t="n">
        <f aca="false">COUNTIFS($B$5:$B$16,"Vulnerable",D$5:D$16,"FN")</f>
        <v>6</v>
      </c>
      <c r="E27" s="1" t="n">
        <f aca="false">COUNTIFS($B$5:$B$16,"Vulnerable",E$5:E$16,"FN")</f>
        <v>2</v>
      </c>
      <c r="F27" s="1" t="n">
        <f aca="false">COUNTIFS($B$5:$B$16,"Vulnerable",F$5:F$16,"FN")</f>
        <v>0</v>
      </c>
      <c r="H27" s="25"/>
    </row>
    <row r="28" customFormat="false" ht="15" hidden="false" customHeight="false" outlineLevel="0" collapsed="false">
      <c r="A28" s="5" t="s">
        <v>210</v>
      </c>
      <c r="C28" s="26" t="n">
        <f aca="false">IFERROR(C25/C24,0)</f>
        <v>0.5</v>
      </c>
      <c r="D28" s="26" t="n">
        <f aca="false">IFERROR(D25/D24,0)</f>
        <v>0.4</v>
      </c>
      <c r="E28" s="26" t="n">
        <f aca="false">IFERROR(E25/E24,0)</f>
        <v>0.8</v>
      </c>
      <c r="F28" s="26" t="n">
        <f aca="false">IFERROR(F25/F24,0)</f>
        <v>0.9</v>
      </c>
      <c r="H28" s="25" t="s">
        <v>211</v>
      </c>
    </row>
    <row r="29" customFormat="false" ht="15" hidden="false" customHeight="false" outlineLevel="0" collapsed="false">
      <c r="A29" s="5" t="s">
        <v>212</v>
      </c>
      <c r="C29" s="26" t="n">
        <f aca="false">IFERROR((C25+C26)/C24,0)</f>
        <v>0.5</v>
      </c>
      <c r="D29" s="26" t="n">
        <f aca="false">IFERROR((D25+D26)/D24,0)</f>
        <v>0.4</v>
      </c>
      <c r="E29" s="26" t="n">
        <f aca="false">IFERROR((E25+E26)/E24,0)</f>
        <v>0.8</v>
      </c>
      <c r="F29" s="26" t="n">
        <f aca="false">IFERROR((F25+F26)/F24,0)</f>
        <v>1</v>
      </c>
      <c r="H29" s="25" t="s">
        <v>213</v>
      </c>
    </row>
    <row r="30" customFormat="false" ht="15" hidden="false" customHeight="false" outlineLevel="0" collapsed="false">
      <c r="A30" s="5" t="s">
        <v>214</v>
      </c>
      <c r="C30" s="1" t="n">
        <f aca="false">COUNTIF($B$5:$B$16,"&lt;&gt;Vulnerable")</f>
        <v>2</v>
      </c>
      <c r="D30" s="1" t="n">
        <f aca="false">COUNTIF($B$5:$B$16,"&lt;&gt;Vulnerable")</f>
        <v>2</v>
      </c>
      <c r="E30" s="1" t="n">
        <f aca="false">COUNTIF($B$5:$B$16,"&lt;&gt;Vulnerable")</f>
        <v>2</v>
      </c>
      <c r="F30" s="1" t="n">
        <f aca="false">COUNTIF($B$5:$B$16,"&lt;&gt;Vulnerable")</f>
        <v>2</v>
      </c>
      <c r="H30" s="25" t="s">
        <v>215</v>
      </c>
    </row>
    <row r="31" customFormat="false" ht="15" hidden="false" customHeight="false" outlineLevel="0" collapsed="false">
      <c r="A31" s="5" t="s">
        <v>216</v>
      </c>
      <c r="C31" s="1" t="n">
        <f aca="false">COUNTIFS($B$5:$B$16,"&lt;&gt;Vulnerable",C$5:C$16,"TN")</f>
        <v>2</v>
      </c>
      <c r="D31" s="1" t="n">
        <f aca="false">COUNTIFS($B$5:$B$16,"&lt;&gt;Vulnerable",D$5:D$16,"TN")</f>
        <v>1</v>
      </c>
      <c r="E31" s="1" t="n">
        <f aca="false">COUNTIFS($B$5:$B$16,"&lt;&gt;Vulnerable",E$5:E$16,"TN")</f>
        <v>1</v>
      </c>
      <c r="F31" s="1" t="n">
        <f aca="false">COUNTIFS($B$5:$B$16,"&lt;&gt;Vulnerable",F$5:F$16,"TN")</f>
        <v>1</v>
      </c>
      <c r="H31" s="25"/>
    </row>
    <row r="32" customFormat="false" ht="15" hidden="false" customHeight="false" outlineLevel="0" collapsed="false">
      <c r="A32" s="5" t="s">
        <v>217</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5" t="s">
        <v>218</v>
      </c>
    </row>
    <row r="35" customFormat="false" ht="17.35" hidden="false" customHeight="false" outlineLevel="0" collapsed="false">
      <c r="A35" s="17" t="s">
        <v>219</v>
      </c>
    </row>
    <row r="36" customFormat="false" ht="26.85" hidden="false" customHeight="false" outlineLevel="0" collapsed="false">
      <c r="A36" s="19" t="s">
        <v>152</v>
      </c>
      <c r="B36" s="19"/>
      <c r="C36" s="19" t="s">
        <v>153</v>
      </c>
      <c r="D36" s="19" t="s">
        <v>154</v>
      </c>
      <c r="E36" s="19" t="s">
        <v>176</v>
      </c>
      <c r="F36" s="19" t="s">
        <v>155</v>
      </c>
      <c r="G36" s="19"/>
      <c r="H36" s="19" t="s">
        <v>202</v>
      </c>
    </row>
    <row r="37" customFormat="false" ht="15" hidden="false" customHeight="false" outlineLevel="0" collapsed="false">
      <c r="A37" s="5" t="s">
        <v>203</v>
      </c>
      <c r="C37" s="1" t="n">
        <f aca="false">COUNTIF($B$5:$B$19,"Vulnerable")</f>
        <v>12</v>
      </c>
      <c r="D37" s="1" t="n">
        <f aca="false">COUNTIF($B$5:$B$19,"Vulnerable")</f>
        <v>12</v>
      </c>
      <c r="E37" s="1" t="n">
        <f aca="false">COUNTIF($B$5:$B$19,"Vulnerable")</f>
        <v>12</v>
      </c>
      <c r="F37" s="1" t="n">
        <f aca="false">COUNTIF($B$5:$B$19,"Vulnerable")</f>
        <v>12</v>
      </c>
      <c r="H37" s="25" t="s">
        <v>204</v>
      </c>
    </row>
    <row r="38" customFormat="false" ht="15" hidden="false" customHeight="false" outlineLevel="0" collapsed="false">
      <c r="A38" s="5" t="s">
        <v>205</v>
      </c>
      <c r="C38" s="1" t="n">
        <f aca="false">COUNTIFS($B$5:$B$19,"Vulnerable",C$5:C$19,"TP")</f>
        <v>5</v>
      </c>
      <c r="D38" s="1" t="n">
        <f aca="false">COUNTIFS($B$5:$B$19,"Vulnerable",D$5:D$19,"TP")</f>
        <v>4</v>
      </c>
      <c r="E38" s="1" t="n">
        <f aca="false">COUNTIFS($B$5:$B$19,"Vulnerable",E$5:E$19,"TP")</f>
        <v>8</v>
      </c>
      <c r="F38" s="1" t="n">
        <f aca="false">COUNTIFS($B$5:$B$19,"Vulnerable",F$5:F$19,"TP")</f>
        <v>11</v>
      </c>
      <c r="H38" s="25" t="s">
        <v>206</v>
      </c>
    </row>
    <row r="39" customFormat="false" ht="15" hidden="false" customHeight="false" outlineLevel="0" collapsed="false">
      <c r="A39" s="5" t="s">
        <v>207</v>
      </c>
      <c r="C39" s="1" t="n">
        <f aca="false">COUNTIFS($B$5:$B$19,"Vulnerable",C$5:C$19,"PARTIAL")</f>
        <v>0</v>
      </c>
      <c r="D39" s="1" t="n">
        <f aca="false">COUNTIFS($B$5:$B$19,"Vulnerable",D$5:D$19,"PARTIAL")</f>
        <v>0</v>
      </c>
      <c r="E39" s="1" t="n">
        <f aca="false">COUNTIFS($B$5:$B$19,"Vulnerable",E$5:E$19,"PARTIAL")</f>
        <v>0</v>
      </c>
      <c r="F39" s="1" t="n">
        <f aca="false">COUNTIFS($B$5:$B$19,"Vulnerable",F$5:F$19,"PARTIAL")</f>
        <v>1</v>
      </c>
      <c r="H39" s="25" t="s">
        <v>208</v>
      </c>
    </row>
    <row r="40" customFormat="false" ht="15" hidden="false" customHeight="false" outlineLevel="0" collapsed="false">
      <c r="A40" s="5" t="s">
        <v>209</v>
      </c>
      <c r="C40" s="1" t="n">
        <f aca="false">COUNTIFS($B$5:$B$19,"Vulnerable",C$5:C$19,"FN")</f>
        <v>7</v>
      </c>
      <c r="D40" s="1" t="n">
        <f aca="false">COUNTIFS($B$5:$B$19,"Vulnerable",D$5:D$19,"FN")</f>
        <v>8</v>
      </c>
      <c r="E40" s="1" t="n">
        <f aca="false">COUNTIFS($B$5:$B$19,"Vulnerable",E$5:E$19,"FN")</f>
        <v>4</v>
      </c>
      <c r="F40" s="1" t="n">
        <f aca="false">COUNTIFS($B$5:$B$19,"Vulnerable",F$5:F$19,"FN")</f>
        <v>0</v>
      </c>
      <c r="H40" s="25"/>
    </row>
    <row r="41" customFormat="false" ht="15" hidden="false" customHeight="false" outlineLevel="0" collapsed="false">
      <c r="A41" s="5" t="s">
        <v>210</v>
      </c>
      <c r="C41" s="26" t="n">
        <f aca="false">IFERROR(C38/C37,0)</f>
        <v>0.416666666666667</v>
      </c>
      <c r="D41" s="26" t="n">
        <f aca="false">IFERROR(D38/D37,0)</f>
        <v>0.333333333333333</v>
      </c>
      <c r="E41" s="26" t="n">
        <f aca="false">IFERROR(E38/E37,0)</f>
        <v>0.666666666666667</v>
      </c>
      <c r="F41" s="26" t="n">
        <f aca="false">IFERROR(F38/F37,0)</f>
        <v>0.916666666666667</v>
      </c>
      <c r="H41" s="25" t="s">
        <v>211</v>
      </c>
    </row>
    <row r="42" customFormat="false" ht="15" hidden="false" customHeight="false" outlineLevel="0" collapsed="false">
      <c r="A42" s="5" t="s">
        <v>212</v>
      </c>
      <c r="C42" s="26" t="n">
        <f aca="false">IFERROR((C38+C39)/C37,0)</f>
        <v>0.416666666666667</v>
      </c>
      <c r="D42" s="26" t="n">
        <f aca="false">IFERROR((D38+D39)/D37,0)</f>
        <v>0.333333333333333</v>
      </c>
      <c r="E42" s="26" t="n">
        <f aca="false">IFERROR((E38+E39)/E37,0)</f>
        <v>0.666666666666667</v>
      </c>
      <c r="F42" s="26" t="n">
        <f aca="false">IFERROR((F38+F39)/F37,0)</f>
        <v>1</v>
      </c>
      <c r="H42" s="25" t="s">
        <v>213</v>
      </c>
    </row>
    <row r="43" customFormat="false" ht="15" hidden="false" customHeight="false" outlineLevel="0" collapsed="false">
      <c r="A43" s="5" t="s">
        <v>214</v>
      </c>
      <c r="C43" s="1" t="n">
        <f aca="false">COUNTIF($B$5:$B$19,"&lt;&gt;Vulnerable")</f>
        <v>3</v>
      </c>
      <c r="D43" s="1" t="n">
        <f aca="false">COUNTIF($B$5:$B$19,"&lt;&gt;Vulnerable")</f>
        <v>3</v>
      </c>
      <c r="E43" s="1" t="n">
        <f aca="false">COUNTIF($B$5:$B$19,"&lt;&gt;Vulnerable")</f>
        <v>3</v>
      </c>
      <c r="F43" s="1" t="n">
        <f aca="false">COUNTIF($B$5:$B$19,"&lt;&gt;Vulnerable")</f>
        <v>3</v>
      </c>
      <c r="H43" s="25" t="s">
        <v>215</v>
      </c>
    </row>
    <row r="44" customFormat="false" ht="15" hidden="false" customHeight="false" outlineLevel="0" collapsed="false">
      <c r="A44" s="5" t="s">
        <v>216</v>
      </c>
      <c r="C44" s="1" t="n">
        <f aca="false">COUNTIFS($B$5:$B$19,"&lt;&gt;Vulnerable",C$5:C$19,"TN")</f>
        <v>3</v>
      </c>
      <c r="D44" s="1" t="n">
        <f aca="false">COUNTIFS($B$5:$B$19,"&lt;&gt;Vulnerable",D$5:D$19,"TN")</f>
        <v>2</v>
      </c>
      <c r="E44" s="1" t="n">
        <f aca="false">COUNTIFS($B$5:$B$19,"&lt;&gt;Vulnerable",E$5:E$19,"TN")</f>
        <v>2</v>
      </c>
      <c r="F44" s="1" t="n">
        <f aca="false">COUNTIFS($B$5:$B$19,"&lt;&gt;Vulnerable",F$5:F$19,"TN")</f>
        <v>2</v>
      </c>
      <c r="H44" s="25"/>
    </row>
    <row r="45" customFormat="false" ht="15" hidden="false" customHeight="false" outlineLevel="0" collapsed="false">
      <c r="A45" s="5" t="s">
        <v>217</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5" t="s">
        <v>218</v>
      </c>
    </row>
    <row r="48" customFormat="false" ht="17.35" hidden="false" customHeight="false" outlineLevel="0" collapsed="false">
      <c r="A48" s="17" t="s">
        <v>220</v>
      </c>
    </row>
    <row r="49" customFormat="false" ht="15" hidden="false" customHeight="false" outlineLevel="0" collapsed="false">
      <c r="A49" s="5" t="s">
        <v>175</v>
      </c>
      <c r="C49" s="1" t="n">
        <f aca="false">SUMPRODUCT(($B$5:$B$19="Vulnerable")*($E$5:$E$19="TP"))</f>
        <v>8</v>
      </c>
      <c r="H49" s="25" t="s">
        <v>176</v>
      </c>
    </row>
    <row r="50" customFormat="false" ht="15" hidden="false" customHeight="false" outlineLevel="0" collapsed="false">
      <c r="A50" s="5" t="s">
        <v>221</v>
      </c>
      <c r="C50" s="1" t="n">
        <f aca="false">SUMPRODUCT(($B$5:$B$19="Vulnerable")*($F$5:$F$19="TP"))</f>
        <v>11</v>
      </c>
    </row>
    <row r="51" customFormat="false" ht="15" hidden="false" customHeight="false" outlineLevel="0" collapsed="false">
      <c r="A51" s="5" t="s">
        <v>222</v>
      </c>
      <c r="C51" s="1" t="n">
        <f aca="false">SUMPRODUCT(($B$5:$B$19="Vulnerable")*($F$5:$F$19="TP")*($E$5:$E$19&lt;&gt;"TP"))</f>
        <v>3</v>
      </c>
      <c r="H51" s="25" t="s">
        <v>223</v>
      </c>
    </row>
    <row r="52" customFormat="false" ht="15" hidden="false" customHeight="false" outlineLevel="0" collapsed="false">
      <c r="A52" s="5" t="s">
        <v>224</v>
      </c>
      <c r="C52" s="1" t="n">
        <f aca="false">SUMPRODUCT(($B$5:$B$19="Vulnerable")*($E$5:$E$19="TP")*($F$5:$F$19&lt;&gt;"TP"))</f>
        <v>0</v>
      </c>
    </row>
    <row r="53" customFormat="false" ht="15" hidden="false" customHeight="false" outlineLevel="0" collapsed="false">
      <c r="A53" s="5" t="s">
        <v>225</v>
      </c>
      <c r="C53" s="1" t="n">
        <f aca="false">SUMPRODUCT(($B$5:$B$19="Vulnerable")*((($E$5:$E$19="TP")+($F$5:$F$19="TP"))&gt;0))</f>
        <v>11</v>
      </c>
    </row>
    <row r="54" customFormat="false" ht="15" hidden="false" customHeight="false" outlineLevel="0" collapsed="false">
      <c r="A54" s="5" t="s">
        <v>226</v>
      </c>
      <c r="C54" s="1" t="n">
        <f aca="false">SUMPRODUCT(($B$5:$B$19="Vulnerable")*($E$5:$E$19&lt;&gt;"TP")*($F$5:$F$19&lt;&gt;"TP"))</f>
        <v>1</v>
      </c>
      <c r="H54" s="25" t="s">
        <v>227</v>
      </c>
    </row>
    <row r="56" customFormat="false" ht="17.35" hidden="false" customHeight="false" outlineLevel="0" collapsed="false">
      <c r="A56" s="17" t="s">
        <v>228</v>
      </c>
    </row>
    <row r="57" customFormat="false" ht="15" hidden="false" customHeight="false" outlineLevel="0" collapsed="false">
      <c r="A57" s="5" t="s">
        <v>229</v>
      </c>
      <c r="C57" s="27" t="n">
        <f aca="false">COUNTIF('AI Run Outcomes'!$D$5:$D$50,"Vulnerable")</f>
        <v>37</v>
      </c>
      <c r="H57" s="25" t="s">
        <v>230</v>
      </c>
    </row>
    <row r="58" customFormat="false" ht="15" hidden="false" customHeight="false" outlineLevel="0" collapsed="false">
      <c r="A58" s="5" t="s">
        <v>231</v>
      </c>
      <c r="C58" s="27" t="n">
        <f aca="false">COUNTIF('AI Run Outcomes'!$J$5:$J$50,"Y")</f>
        <v>34</v>
      </c>
      <c r="H58" s="25" t="s">
        <v>232</v>
      </c>
    </row>
    <row r="59" customFormat="false" ht="15" hidden="false" customHeight="false" outlineLevel="0" collapsed="false">
      <c r="A59" s="5" t="s">
        <v>233</v>
      </c>
      <c r="C59" s="26" t="n">
        <f aca="false">C58/C57</f>
        <v>0.918918918918919</v>
      </c>
    </row>
    <row r="60" customFormat="false" ht="15" hidden="false" customHeight="false" outlineLevel="0" collapsed="false">
      <c r="A60" s="5" t="s">
        <v>234</v>
      </c>
      <c r="C60" s="27" t="n">
        <f aca="false">COUNTIF('AI Run Outcomes'!$D$5:$D$50,"&lt;&gt;Vulnerable")</f>
        <v>9</v>
      </c>
    </row>
    <row r="61" customFormat="false" ht="15" hidden="false" customHeight="false" outlineLevel="0" collapsed="false">
      <c r="A61" s="5" t="s">
        <v>235</v>
      </c>
      <c r="C61" s="27" t="n">
        <f aca="false">COUNTIFS('AI Run Outcomes'!$D$5:$D$50,"&lt;&gt;Vulnerable",'AI Run Outcomes'!$E$5:$E$50,"&gt;0")</f>
        <v>3</v>
      </c>
    </row>
    <row r="62" customFormat="false" ht="15" hidden="false" customHeight="false" outlineLevel="0" collapsed="false">
      <c r="A62" s="5" t="s">
        <v>236</v>
      </c>
      <c r="C62" s="26" t="n">
        <f aca="false">C61/C60</f>
        <v>0.333333333333333</v>
      </c>
    </row>
    <row r="63" customFormat="false" ht="15" hidden="false" customHeight="false" outlineLevel="0" collapsed="false">
      <c r="A63" s="5" t="s">
        <v>237</v>
      </c>
      <c r="C63" s="27" t="n">
        <f aca="false">COUNTIFS('AI Run Outcomes'!$D$5:$D$50,"&lt;&gt;Vulnerable",'AI Run Outcomes'!$L$5:$L$50,"DO_NOT_MERGE")</f>
        <v>1</v>
      </c>
    </row>
    <row r="64" customFormat="false" ht="15" hidden="false" customHeight="false" outlineLevel="0" collapsed="false">
      <c r="A64" s="5" t="s">
        <v>238</v>
      </c>
      <c r="C64" s="27" t="n">
        <f aca="false">COUNTIF('AI Confirmed Findings'!$G$6:$G$59,"&lt;&gt;NONE")</f>
        <v>45</v>
      </c>
    </row>
    <row r="65" customFormat="false" ht="15" hidden="false" customHeight="false" outlineLevel="0" collapsed="false">
      <c r="A65" s="5" t="s">
        <v>239</v>
      </c>
      <c r="C65" s="27" t="n">
        <f aca="false">COUNTIF('AI Confirmed Findings'!$G$6:$G$59,"TARGET")</f>
        <v>34</v>
      </c>
    </row>
    <row r="66" customFormat="false" ht="15" hidden="false" customHeight="false" outlineLevel="0" collapsed="false">
      <c r="A66" s="5" t="s">
        <v>240</v>
      </c>
      <c r="C66" s="27" t="n">
        <f aca="false">COUNTIF('AI Confirmed Findings'!$G$6:$G$59,"EXTRA-VALID")</f>
        <v>3</v>
      </c>
    </row>
    <row r="67" customFormat="false" ht="15" hidden="false" customHeight="false" outlineLevel="0" collapsed="false">
      <c r="A67" s="5" t="s">
        <v>241</v>
      </c>
      <c r="C67" s="27" t="n">
        <f aca="false">COUNTIF('AI Confirmed Findings'!$G$6:$G$59,"DUPLICATE")</f>
        <v>1</v>
      </c>
    </row>
    <row r="68" customFormat="false" ht="15" hidden="false" customHeight="false" outlineLevel="0" collapsed="false">
      <c r="A68" s="5" t="s">
        <v>242</v>
      </c>
      <c r="C68" s="27" t="n">
        <f aca="false">COUNTIF('AI Confirmed Findings'!$G$6:$G$59,"FALSE")</f>
        <v>7</v>
      </c>
    </row>
    <row r="69" customFormat="false" ht="15" hidden="false" customHeight="false" outlineLevel="0" collapsed="false">
      <c r="A69" s="5" t="s">
        <v>243</v>
      </c>
      <c r="C69" s="26" t="n">
        <f aca="false">(C65+C66)/C64</f>
        <v>0.822222222222222</v>
      </c>
    </row>
    <row r="70" customFormat="false" ht="15" hidden="false" customHeight="false" outlineLevel="0" collapsed="false">
      <c r="A70" s="5" t="s">
        <v>244</v>
      </c>
      <c r="C70" s="27" t="n">
        <f aca="false">COUNTIF('AI Run Outcomes'!$I$5:$I$50,"&gt;0")</f>
        <v>5</v>
      </c>
    </row>
    <row r="71" customFormat="false" ht="15" hidden="false" customHeight="false" outlineLevel="0" collapsed="false">
      <c r="A71" s="5" t="s">
        <v>245</v>
      </c>
      <c r="C71" s="27" t="n">
        <f aca="false">COUNTIF('AI Confirmed Findings'!$F$6:$F$59,"*failed validation*")</f>
        <v>1</v>
      </c>
    </row>
    <row r="73" customFormat="false" ht="17.35" hidden="false" customHeight="false" outlineLevel="0" collapsed="false">
      <c r="A73" s="17" t="s">
        <v>246</v>
      </c>
    </row>
    <row r="74" customFormat="false" ht="15" hidden="false" customHeight="false" outlineLevel="0" collapsed="false">
      <c r="A74" s="5" t="s">
        <v>247</v>
      </c>
      <c r="C74" s="28" t="n">
        <f aca="false">Timing!E54</f>
        <v>77</v>
      </c>
    </row>
    <row r="75" customFormat="false" ht="15" hidden="false" customHeight="false" outlineLevel="0" collapsed="false">
      <c r="A75" s="5" t="s">
        <v>248</v>
      </c>
      <c r="C75" s="28" t="n">
        <f aca="false">Timing!G54</f>
        <v>6</v>
      </c>
    </row>
    <row r="76" customFormat="false" ht="15" hidden="false" customHeight="false" outlineLevel="0" collapsed="false">
      <c r="A76" s="5" t="s">
        <v>249</v>
      </c>
      <c r="C76" s="28" t="n">
        <f aca="false">Timing!F54</f>
        <v>19.5</v>
      </c>
    </row>
    <row r="77" customFormat="false" ht="15" hidden="false" customHeight="false" outlineLevel="0" collapsed="false">
      <c r="A77" s="5" t="s">
        <v>250</v>
      </c>
      <c r="C77" s="28" t="n">
        <f aca="false">Timing!H54</f>
        <v>1</v>
      </c>
    </row>
    <row r="78" customFormat="false" ht="15" hidden="false" customHeight="false" outlineLevel="0" collapsed="false">
      <c r="A78" s="5" t="s">
        <v>251</v>
      </c>
      <c r="C78" s="28" t="n">
        <f aca="false">Timing!I54</f>
        <v>31.5</v>
      </c>
    </row>
    <row r="79" customFormat="false" ht="15" hidden="false" customHeight="false" outlineLevel="0" collapsed="false">
      <c r="A79" s="5" t="s">
        <v>252</v>
      </c>
      <c r="C79" s="28" t="n">
        <f aca="false">Timing!L54</f>
        <v>79</v>
      </c>
    </row>
    <row r="81" customFormat="false" ht="17.35" hidden="false" customHeight="false" outlineLevel="0" collapsed="false">
      <c r="A81" s="17" t="s">
        <v>253</v>
      </c>
    </row>
    <row r="82" customFormat="false" ht="15" hidden="false" customHeight="false" outlineLevel="0" collapsed="false">
      <c r="A82" s="5" t="s">
        <v>254</v>
      </c>
      <c r="C82" s="29" t="n">
        <f aca="false">'Remediation Validation'!F23</f>
        <v>12</v>
      </c>
    </row>
    <row r="83" customFormat="false" ht="15" hidden="false" customHeight="false" outlineLevel="0" collapsed="false">
      <c r="A83" s="5" t="s">
        <v>255</v>
      </c>
      <c r="C83" s="29" t="n">
        <f aca="false">'Remediation Validation'!F24</f>
        <v>12</v>
      </c>
    </row>
    <row r="84" customFormat="false" ht="15" hidden="false" customHeight="false" outlineLevel="0" collapsed="false">
      <c r="A84" s="5" t="s">
        <v>256</v>
      </c>
      <c r="C84" s="29" t="n">
        <f aca="false">'Remediation Validation'!F25</f>
        <v>12</v>
      </c>
    </row>
    <row r="85" customFormat="false" ht="15" hidden="false" customHeight="false" outlineLevel="0" collapsed="false">
      <c r="A85" s="5" t="s">
        <v>257</v>
      </c>
      <c r="C85" s="29" t="n">
        <f aca="false">'Remediation Validation'!F26</f>
        <v>8</v>
      </c>
    </row>
    <row r="86" customFormat="false" ht="15" hidden="false" customHeight="false" outlineLevel="0" collapsed="false">
      <c r="A86" s="5" t="s">
        <v>258</v>
      </c>
      <c r="C86" s="29" t="n">
        <f aca="false">'Remediation Validation'!F27</f>
        <v>4</v>
      </c>
    </row>
    <row r="87" customFormat="false" ht="15" hidden="false" customHeight="false" outlineLevel="0" collapsed="false">
      <c r="A87" s="5" t="s">
        <v>259</v>
      </c>
      <c r="C87" s="29" t="n">
        <f aca="false">'Remediation Validation'!F28</f>
        <v>9</v>
      </c>
    </row>
    <row r="88" customFormat="false" ht="15" hidden="false" customHeight="false" outlineLevel="0" collapsed="false">
      <c r="A88" s="5" t="s">
        <v>260</v>
      </c>
      <c r="C88" s="29" t="n">
        <f aca="false">'Remediation Validation'!F29</f>
        <v>2</v>
      </c>
    </row>
    <row r="89" customFormat="false" ht="15" hidden="false" customHeight="false" outlineLevel="0" collapsed="false">
      <c r="A89" s="5" t="s">
        <v>261</v>
      </c>
      <c r="C89" s="29" t="n">
        <f aca="false">'Remediation Validation'!F30</f>
        <v>3</v>
      </c>
    </row>
    <row r="90" customFormat="false" ht="15" hidden="false" customHeight="false" outlineLevel="0" collapsed="false">
      <c r="A90" s="5" t="s">
        <v>262</v>
      </c>
      <c r="C90" s="29"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263</v>
      </c>
      <c r="C1" s="7" t="s">
        <v>264</v>
      </c>
      <c r="D1" s="7" t="s">
        <v>265</v>
      </c>
      <c r="E1" s="7" t="s">
        <v>266</v>
      </c>
      <c r="F1" s="7" t="s">
        <v>267</v>
      </c>
      <c r="G1" s="7" t="s">
        <v>268</v>
      </c>
      <c r="H1" s="7" t="s">
        <v>269</v>
      </c>
      <c r="I1" s="7" t="s">
        <v>270</v>
      </c>
      <c r="J1" s="7" t="s">
        <v>271</v>
      </c>
      <c r="K1" s="7" t="s">
        <v>272</v>
      </c>
      <c r="L1" s="7" t="s">
        <v>273</v>
      </c>
      <c r="M1" s="7" t="s">
        <v>274</v>
      </c>
    </row>
    <row r="2" customFormat="false" ht="39" hidden="false" customHeight="true" outlineLevel="0" collapsed="false">
      <c r="A2" s="8" t="s">
        <v>32</v>
      </c>
      <c r="B2" s="8" t="n">
        <v>70</v>
      </c>
      <c r="C2" s="8" t="n">
        <v>38404582550</v>
      </c>
      <c r="D2" s="8" t="s">
        <v>275</v>
      </c>
      <c r="E2" s="8" t="s">
        <v>276</v>
      </c>
      <c r="F2" s="8" t="s">
        <v>277</v>
      </c>
      <c r="G2" s="8" t="s">
        <v>278</v>
      </c>
      <c r="H2" s="8" t="s">
        <v>279</v>
      </c>
      <c r="I2" s="8" t="s">
        <v>280</v>
      </c>
      <c r="J2" s="8" t="s">
        <v>281</v>
      </c>
      <c r="K2" s="8" t="s">
        <v>282</v>
      </c>
      <c r="L2" s="8" t="n">
        <v>100</v>
      </c>
      <c r="M2" s="8" t="s">
        <v>283</v>
      </c>
    </row>
    <row r="3" customFormat="false" ht="26.25" hidden="false" customHeight="true" outlineLevel="0" collapsed="false">
      <c r="A3" s="8" t="s">
        <v>32</v>
      </c>
      <c r="B3" s="8" t="n">
        <v>70</v>
      </c>
      <c r="C3" s="8" t="n">
        <v>38405003190</v>
      </c>
      <c r="D3" s="8" t="s">
        <v>284</v>
      </c>
      <c r="E3" s="8" t="s">
        <v>285</v>
      </c>
      <c r="F3" s="8" t="s">
        <v>277</v>
      </c>
      <c r="G3" s="8" t="s">
        <v>278</v>
      </c>
      <c r="H3" s="8" t="s">
        <v>279</v>
      </c>
      <c r="I3" s="8" t="s">
        <v>280</v>
      </c>
      <c r="J3" s="8" t="s">
        <v>281</v>
      </c>
      <c r="K3" s="8" t="s">
        <v>281</v>
      </c>
      <c r="L3" s="8" t="n">
        <v>100</v>
      </c>
      <c r="M3" s="8" t="s">
        <v>283</v>
      </c>
    </row>
    <row r="4" customFormat="false" ht="77.25" hidden="false" customHeight="true" outlineLevel="0" collapsed="false">
      <c r="A4" s="8" t="s">
        <v>32</v>
      </c>
      <c r="B4" s="8" t="n">
        <v>70</v>
      </c>
      <c r="C4" s="8" t="n">
        <v>38405111880</v>
      </c>
      <c r="D4" s="8" t="s">
        <v>284</v>
      </c>
      <c r="E4" s="8" t="s">
        <v>286</v>
      </c>
      <c r="F4" s="8" t="s">
        <v>277</v>
      </c>
      <c r="G4" s="8" t="s">
        <v>278</v>
      </c>
      <c r="H4" s="8" t="s">
        <v>279</v>
      </c>
      <c r="I4" s="8" t="s">
        <v>280</v>
      </c>
      <c r="J4" s="8" t="s">
        <v>281</v>
      </c>
      <c r="K4" s="8" t="s">
        <v>287</v>
      </c>
      <c r="L4" s="8" t="n">
        <v>100</v>
      </c>
      <c r="M4" s="8" t="s">
        <v>283</v>
      </c>
    </row>
    <row r="5" customFormat="false" ht="26.25" hidden="false" customHeight="true" outlineLevel="0" collapsed="false">
      <c r="A5" s="8" t="s">
        <v>45</v>
      </c>
      <c r="B5" s="8" t="n">
        <v>71</v>
      </c>
      <c r="C5" s="8" t="n">
        <v>38404584887</v>
      </c>
      <c r="D5" s="8" t="s">
        <v>275</v>
      </c>
      <c r="E5" s="8" t="s">
        <v>276</v>
      </c>
      <c r="F5" s="8" t="s">
        <v>288</v>
      </c>
      <c r="G5" s="8" t="s">
        <v>278</v>
      </c>
      <c r="H5" s="8" t="s">
        <v>279</v>
      </c>
      <c r="I5" s="8" t="s">
        <v>280</v>
      </c>
      <c r="J5" s="8" t="s">
        <v>289</v>
      </c>
      <c r="K5" s="8" t="s">
        <v>281</v>
      </c>
      <c r="L5" s="8" t="n">
        <v>70</v>
      </c>
      <c r="M5" s="8" t="s">
        <v>290</v>
      </c>
    </row>
    <row r="6" customFormat="false" ht="26.25" hidden="false" customHeight="true" outlineLevel="0" collapsed="false">
      <c r="A6" s="8" t="s">
        <v>45</v>
      </c>
      <c r="B6" s="8" t="n">
        <v>71</v>
      </c>
      <c r="C6" s="8" t="n">
        <v>38405012851</v>
      </c>
      <c r="D6" s="8" t="s">
        <v>284</v>
      </c>
      <c r="E6" s="8" t="s">
        <v>291</v>
      </c>
      <c r="F6" s="8" t="s">
        <v>288</v>
      </c>
      <c r="G6" s="8" t="s">
        <v>278</v>
      </c>
      <c r="H6" s="8" t="s">
        <v>279</v>
      </c>
      <c r="I6" s="8" t="s">
        <v>280</v>
      </c>
      <c r="J6" s="8" t="s">
        <v>292</v>
      </c>
      <c r="K6" s="8" t="s">
        <v>281</v>
      </c>
      <c r="L6" s="8" t="n">
        <v>70</v>
      </c>
      <c r="M6" s="8" t="s">
        <v>290</v>
      </c>
    </row>
    <row r="7" customFormat="false" ht="26.25" hidden="false" customHeight="true" outlineLevel="0" collapsed="false">
      <c r="A7" s="8" t="s">
        <v>45</v>
      </c>
      <c r="B7" s="8" t="n">
        <v>71</v>
      </c>
      <c r="C7" s="8" t="n">
        <v>38405121064</v>
      </c>
      <c r="D7" s="8" t="s">
        <v>284</v>
      </c>
      <c r="E7" s="8" t="s">
        <v>293</v>
      </c>
      <c r="F7" s="8" t="s">
        <v>288</v>
      </c>
      <c r="G7" s="8" t="s">
        <v>278</v>
      </c>
      <c r="H7" s="8" t="s">
        <v>279</v>
      </c>
      <c r="I7" s="8" t="s">
        <v>280</v>
      </c>
      <c r="J7" s="8" t="s">
        <v>294</v>
      </c>
      <c r="K7" s="8" t="s">
        <v>281</v>
      </c>
      <c r="L7" s="8" t="n">
        <v>70</v>
      </c>
      <c r="M7" s="8" t="s">
        <v>290</v>
      </c>
    </row>
    <row r="8" customFormat="false" ht="26.25" hidden="false" customHeight="true" outlineLevel="0" collapsed="false">
      <c r="A8" s="8" t="s">
        <v>58</v>
      </c>
      <c r="B8" s="8" t="n">
        <v>72</v>
      </c>
      <c r="C8" s="8" t="n">
        <v>38404589228</v>
      </c>
      <c r="D8" s="8" t="s">
        <v>275</v>
      </c>
      <c r="E8" s="8" t="s">
        <v>295</v>
      </c>
      <c r="F8" s="8" t="s">
        <v>296</v>
      </c>
      <c r="G8" s="8" t="s">
        <v>278</v>
      </c>
      <c r="H8" s="8" t="s">
        <v>279</v>
      </c>
      <c r="I8" s="8" t="s">
        <v>280</v>
      </c>
      <c r="J8" s="8" t="s">
        <v>297</v>
      </c>
      <c r="K8" s="8" t="s">
        <v>281</v>
      </c>
      <c r="L8" s="8" t="n">
        <v>70</v>
      </c>
      <c r="M8" s="8" t="s">
        <v>290</v>
      </c>
    </row>
    <row r="9" customFormat="false" ht="26.25" hidden="false" customHeight="true" outlineLevel="0" collapsed="false">
      <c r="A9" s="8" t="s">
        <v>58</v>
      </c>
      <c r="B9" s="8" t="n">
        <v>72</v>
      </c>
      <c r="C9" s="8" t="n">
        <v>38405022162</v>
      </c>
      <c r="D9" s="8" t="s">
        <v>284</v>
      </c>
      <c r="E9" s="8" t="s">
        <v>298</v>
      </c>
      <c r="F9" s="8" t="s">
        <v>296</v>
      </c>
      <c r="G9" s="8" t="s">
        <v>278</v>
      </c>
      <c r="H9" s="8" t="s">
        <v>279</v>
      </c>
      <c r="I9" s="8" t="s">
        <v>280</v>
      </c>
      <c r="J9" s="8" t="s">
        <v>299</v>
      </c>
      <c r="K9" s="8" t="s">
        <v>281</v>
      </c>
      <c r="L9" s="8" t="n">
        <v>70</v>
      </c>
      <c r="M9" s="8" t="s">
        <v>290</v>
      </c>
    </row>
    <row r="10" customFormat="false" ht="77.25" hidden="false" customHeight="true" outlineLevel="0" collapsed="false">
      <c r="A10" s="8" t="s">
        <v>58</v>
      </c>
      <c r="B10" s="8" t="n">
        <v>72</v>
      </c>
      <c r="C10" s="8" t="n">
        <v>38405130215</v>
      </c>
      <c r="D10" s="8" t="s">
        <v>284</v>
      </c>
      <c r="E10" s="8" t="s">
        <v>300</v>
      </c>
      <c r="F10" s="8" t="s">
        <v>296</v>
      </c>
      <c r="G10" s="8" t="s">
        <v>278</v>
      </c>
      <c r="H10" s="8" t="s">
        <v>279</v>
      </c>
      <c r="I10" s="8" t="s">
        <v>280</v>
      </c>
      <c r="J10" s="8" t="s">
        <v>301</v>
      </c>
      <c r="K10" s="8" t="s">
        <v>281</v>
      </c>
      <c r="L10" s="8" t="n">
        <v>40</v>
      </c>
      <c r="M10" s="8" t="s">
        <v>302</v>
      </c>
    </row>
    <row r="11" customFormat="false" ht="39" hidden="false" customHeight="true" outlineLevel="0" collapsed="false">
      <c r="A11" s="8" t="s">
        <v>68</v>
      </c>
      <c r="B11" s="8" t="n">
        <v>73</v>
      </c>
      <c r="C11" s="8" t="n">
        <v>38404592498</v>
      </c>
      <c r="D11" s="8" t="s">
        <v>275</v>
      </c>
      <c r="E11" s="8" t="s">
        <v>303</v>
      </c>
      <c r="F11" s="8" t="s">
        <v>304</v>
      </c>
      <c r="G11" s="8" t="s">
        <v>278</v>
      </c>
      <c r="H11" s="8" t="s">
        <v>279</v>
      </c>
      <c r="I11" s="8" t="s">
        <v>280</v>
      </c>
      <c r="J11" s="8" t="s">
        <v>305</v>
      </c>
      <c r="K11" s="8" t="s">
        <v>281</v>
      </c>
      <c r="L11" s="8" t="n">
        <v>70</v>
      </c>
      <c r="M11" s="8" t="s">
        <v>290</v>
      </c>
    </row>
    <row r="12" customFormat="false" ht="39" hidden="false" customHeight="true" outlineLevel="0" collapsed="false">
      <c r="A12" s="8" t="s">
        <v>68</v>
      </c>
      <c r="B12" s="8" t="n">
        <v>73</v>
      </c>
      <c r="C12" s="8" t="n">
        <v>38405031009</v>
      </c>
      <c r="D12" s="8" t="s">
        <v>284</v>
      </c>
      <c r="E12" s="8" t="s">
        <v>306</v>
      </c>
      <c r="F12" s="8" t="s">
        <v>304</v>
      </c>
      <c r="G12" s="8" t="s">
        <v>278</v>
      </c>
      <c r="H12" s="8" t="s">
        <v>279</v>
      </c>
      <c r="I12" s="8" t="s">
        <v>280</v>
      </c>
      <c r="J12" s="8" t="s">
        <v>307</v>
      </c>
      <c r="K12" s="8" t="s">
        <v>281</v>
      </c>
      <c r="L12" s="8" t="n">
        <v>70</v>
      </c>
      <c r="M12" s="8" t="s">
        <v>290</v>
      </c>
    </row>
    <row r="13" customFormat="false" ht="26.25" hidden="false" customHeight="true" outlineLevel="0" collapsed="false">
      <c r="A13" s="8" t="s">
        <v>68</v>
      </c>
      <c r="B13" s="8" t="n">
        <v>73</v>
      </c>
      <c r="C13" s="8" t="n">
        <v>38405139458</v>
      </c>
      <c r="D13" s="8" t="s">
        <v>284</v>
      </c>
      <c r="E13" s="8" t="s">
        <v>308</v>
      </c>
      <c r="F13" s="8" t="s">
        <v>304</v>
      </c>
      <c r="G13" s="8" t="s">
        <v>278</v>
      </c>
      <c r="H13" s="8" t="s">
        <v>279</v>
      </c>
      <c r="I13" s="8" t="s">
        <v>280</v>
      </c>
      <c r="J13" s="8" t="s">
        <v>309</v>
      </c>
      <c r="K13" s="8" t="s">
        <v>281</v>
      </c>
      <c r="L13" s="8" t="n">
        <v>70</v>
      </c>
      <c r="M13" s="8" t="s">
        <v>290</v>
      </c>
    </row>
    <row r="14" customFormat="false" ht="26.25" hidden="false" customHeight="true" outlineLevel="0" collapsed="false">
      <c r="A14" s="8" t="s">
        <v>78</v>
      </c>
      <c r="B14" s="8" t="n">
        <v>74</v>
      </c>
      <c r="C14" s="8" t="n">
        <v>38404594354</v>
      </c>
      <c r="D14" s="8" t="s">
        <v>275</v>
      </c>
      <c r="E14" s="8" t="s">
        <v>310</v>
      </c>
      <c r="F14" s="8" t="s">
        <v>311</v>
      </c>
      <c r="G14" s="8" t="s">
        <v>278</v>
      </c>
      <c r="H14" s="8" t="s">
        <v>279</v>
      </c>
      <c r="I14" s="8" t="s">
        <v>280</v>
      </c>
      <c r="J14" s="8" t="s">
        <v>312</v>
      </c>
      <c r="K14" s="8" t="s">
        <v>313</v>
      </c>
      <c r="L14" s="8" t="n">
        <v>70</v>
      </c>
      <c r="M14" s="8" t="s">
        <v>290</v>
      </c>
    </row>
    <row r="15" customFormat="false" ht="26.25" hidden="false" customHeight="true" outlineLevel="0" collapsed="false">
      <c r="A15" s="8" t="s">
        <v>78</v>
      </c>
      <c r="B15" s="8" t="n">
        <v>74</v>
      </c>
      <c r="C15" s="8" t="n">
        <v>38405039302</v>
      </c>
      <c r="D15" s="8" t="s">
        <v>284</v>
      </c>
      <c r="E15" s="8" t="s">
        <v>314</v>
      </c>
      <c r="F15" s="8" t="s">
        <v>311</v>
      </c>
      <c r="G15" s="8" t="s">
        <v>278</v>
      </c>
      <c r="H15" s="8" t="s">
        <v>279</v>
      </c>
      <c r="I15" s="8" t="s">
        <v>280</v>
      </c>
      <c r="J15" s="8" t="s">
        <v>315</v>
      </c>
      <c r="K15" s="8" t="s">
        <v>316</v>
      </c>
      <c r="L15" s="8" t="n">
        <v>70</v>
      </c>
      <c r="M15" s="8" t="s">
        <v>290</v>
      </c>
    </row>
    <row r="16" customFormat="false" ht="26.25" hidden="false" customHeight="true" outlineLevel="0" collapsed="false">
      <c r="A16" s="8" t="s">
        <v>78</v>
      </c>
      <c r="B16" s="8" t="n">
        <v>74</v>
      </c>
      <c r="C16" s="8" t="n">
        <v>38405149036</v>
      </c>
      <c r="D16" s="8" t="s">
        <v>284</v>
      </c>
      <c r="E16" s="8" t="s">
        <v>317</v>
      </c>
      <c r="F16" s="8" t="s">
        <v>311</v>
      </c>
      <c r="G16" s="8" t="s">
        <v>278</v>
      </c>
      <c r="H16" s="8" t="s">
        <v>279</v>
      </c>
      <c r="I16" s="8" t="s">
        <v>280</v>
      </c>
      <c r="J16" s="8" t="s">
        <v>318</v>
      </c>
      <c r="K16" s="8" t="s">
        <v>319</v>
      </c>
      <c r="L16" s="8" t="n">
        <v>85</v>
      </c>
      <c r="M16" s="8" t="s">
        <v>283</v>
      </c>
    </row>
    <row r="17" customFormat="false" ht="26.25" hidden="false" customHeight="true" outlineLevel="0" collapsed="false">
      <c r="A17" s="8" t="s">
        <v>87</v>
      </c>
      <c r="B17" s="8" t="n">
        <v>75</v>
      </c>
      <c r="C17" s="8" t="n">
        <v>38404596950</v>
      </c>
      <c r="D17" s="8" t="s">
        <v>275</v>
      </c>
      <c r="E17" s="8" t="s">
        <v>320</v>
      </c>
      <c r="F17" s="8" t="s">
        <v>321</v>
      </c>
      <c r="G17" s="8" t="s">
        <v>278</v>
      </c>
      <c r="H17" s="8" t="s">
        <v>279</v>
      </c>
      <c r="I17" s="8" t="s">
        <v>280</v>
      </c>
      <c r="J17" s="8" t="s">
        <v>322</v>
      </c>
      <c r="K17" s="8" t="s">
        <v>281</v>
      </c>
      <c r="L17" s="8" t="n">
        <v>85</v>
      </c>
      <c r="M17" s="8" t="s">
        <v>283</v>
      </c>
    </row>
    <row r="18" customFormat="false" ht="26.25" hidden="false" customHeight="true" outlineLevel="0" collapsed="false">
      <c r="A18" s="8" t="s">
        <v>87</v>
      </c>
      <c r="B18" s="8" t="n">
        <v>75</v>
      </c>
      <c r="C18" s="8" t="n">
        <v>38405047995</v>
      </c>
      <c r="D18" s="8" t="s">
        <v>284</v>
      </c>
      <c r="E18" s="8" t="s">
        <v>323</v>
      </c>
      <c r="F18" s="8" t="s">
        <v>321</v>
      </c>
      <c r="G18" s="8" t="s">
        <v>278</v>
      </c>
      <c r="H18" s="8" t="s">
        <v>279</v>
      </c>
      <c r="I18" s="8" t="s">
        <v>280</v>
      </c>
      <c r="J18" s="8" t="s">
        <v>324</v>
      </c>
      <c r="K18" s="8" t="s">
        <v>281</v>
      </c>
      <c r="L18" s="8" t="n">
        <v>85</v>
      </c>
      <c r="M18" s="8" t="s">
        <v>283</v>
      </c>
    </row>
    <row r="19" customFormat="false" ht="26.25" hidden="false" customHeight="true" outlineLevel="0" collapsed="false">
      <c r="A19" s="8" t="s">
        <v>87</v>
      </c>
      <c r="B19" s="8" t="n">
        <v>75</v>
      </c>
      <c r="C19" s="8" t="n">
        <v>38405157604</v>
      </c>
      <c r="D19" s="8" t="s">
        <v>284</v>
      </c>
      <c r="E19" s="8" t="s">
        <v>325</v>
      </c>
      <c r="F19" s="8" t="s">
        <v>321</v>
      </c>
      <c r="G19" s="8" t="s">
        <v>278</v>
      </c>
      <c r="H19" s="8" t="s">
        <v>279</v>
      </c>
      <c r="I19" s="8" t="s">
        <v>280</v>
      </c>
      <c r="J19" s="8" t="s">
        <v>326</v>
      </c>
      <c r="K19" s="8" t="s">
        <v>281</v>
      </c>
      <c r="L19" s="8" t="n">
        <v>85</v>
      </c>
      <c r="M19" s="8" t="s">
        <v>283</v>
      </c>
    </row>
    <row r="20" customFormat="false" ht="64.5" hidden="false" customHeight="true" outlineLevel="0" collapsed="false">
      <c r="A20" s="8" t="s">
        <v>96</v>
      </c>
      <c r="B20" s="8" t="n">
        <v>76</v>
      </c>
      <c r="C20" s="8" t="n">
        <v>38404600206</v>
      </c>
      <c r="D20" s="8" t="s">
        <v>275</v>
      </c>
      <c r="E20" s="8" t="s">
        <v>320</v>
      </c>
      <c r="F20" s="8" t="s">
        <v>327</v>
      </c>
      <c r="G20" s="8" t="s">
        <v>278</v>
      </c>
      <c r="H20" s="8" t="s">
        <v>279</v>
      </c>
      <c r="I20" s="8" t="s">
        <v>280</v>
      </c>
      <c r="J20" s="8" t="s">
        <v>328</v>
      </c>
      <c r="K20" s="8" t="s">
        <v>329</v>
      </c>
      <c r="L20" s="8" t="n">
        <v>65</v>
      </c>
      <c r="M20" s="8" t="s">
        <v>302</v>
      </c>
    </row>
    <row r="21" customFormat="false" ht="51.75" hidden="false" customHeight="true" outlineLevel="0" collapsed="false">
      <c r="A21" s="8" t="s">
        <v>96</v>
      </c>
      <c r="B21" s="8" t="n">
        <v>76</v>
      </c>
      <c r="C21" s="8" t="n">
        <v>38405057461</v>
      </c>
      <c r="D21" s="8" t="s">
        <v>284</v>
      </c>
      <c r="E21" s="8" t="s">
        <v>330</v>
      </c>
      <c r="F21" s="8" t="s">
        <v>327</v>
      </c>
      <c r="G21" s="8" t="s">
        <v>278</v>
      </c>
      <c r="H21" s="8" t="s">
        <v>279</v>
      </c>
      <c r="I21" s="8" t="s">
        <v>280</v>
      </c>
      <c r="J21" s="8" t="s">
        <v>331</v>
      </c>
      <c r="K21" s="8" t="s">
        <v>332</v>
      </c>
      <c r="L21" s="8" t="n">
        <v>65</v>
      </c>
      <c r="M21" s="8" t="s">
        <v>302</v>
      </c>
    </row>
    <row r="22" customFormat="false" ht="51.75" hidden="false" customHeight="true" outlineLevel="0" collapsed="false">
      <c r="A22" s="8" t="s">
        <v>96</v>
      </c>
      <c r="B22" s="8" t="n">
        <v>76</v>
      </c>
      <c r="C22" s="8" t="n">
        <v>38405166219</v>
      </c>
      <c r="D22" s="8" t="s">
        <v>284</v>
      </c>
      <c r="E22" s="8" t="s">
        <v>333</v>
      </c>
      <c r="F22" s="8" t="s">
        <v>327</v>
      </c>
      <c r="G22" s="8" t="s">
        <v>278</v>
      </c>
      <c r="H22" s="8" t="s">
        <v>279</v>
      </c>
      <c r="I22" s="8" t="s">
        <v>280</v>
      </c>
      <c r="J22" s="8" t="s">
        <v>334</v>
      </c>
      <c r="K22" s="8" t="s">
        <v>335</v>
      </c>
      <c r="L22" s="8" t="n">
        <v>65</v>
      </c>
      <c r="M22" s="8" t="s">
        <v>302</v>
      </c>
    </row>
    <row r="23" customFormat="false" ht="51.75" hidden="false" customHeight="true" outlineLevel="0" collapsed="false">
      <c r="A23" s="8" t="s">
        <v>106</v>
      </c>
      <c r="B23" s="8" t="n">
        <v>77</v>
      </c>
      <c r="C23" s="8" t="n">
        <v>38404605125</v>
      </c>
      <c r="D23" s="8" t="s">
        <v>275</v>
      </c>
      <c r="E23" s="8" t="s">
        <v>336</v>
      </c>
      <c r="F23" s="8" t="s">
        <v>337</v>
      </c>
      <c r="G23" s="8" t="s">
        <v>278</v>
      </c>
      <c r="H23" s="8" t="s">
        <v>279</v>
      </c>
      <c r="I23" s="8" t="s">
        <v>338</v>
      </c>
      <c r="J23" s="8" t="s">
        <v>75</v>
      </c>
      <c r="K23" s="8" t="s">
        <v>339</v>
      </c>
      <c r="L23" s="8" t="s">
        <v>75</v>
      </c>
      <c r="M23" s="8" t="s">
        <v>75</v>
      </c>
    </row>
    <row r="24" customFormat="false" ht="90" hidden="false" customHeight="true" outlineLevel="0" collapsed="false">
      <c r="A24" s="8" t="s">
        <v>106</v>
      </c>
      <c r="B24" s="8" t="n">
        <v>77</v>
      </c>
      <c r="C24" s="8" t="n">
        <v>38405066857</v>
      </c>
      <c r="D24" s="8" t="s">
        <v>284</v>
      </c>
      <c r="E24" s="8" t="s">
        <v>340</v>
      </c>
      <c r="F24" s="8" t="s">
        <v>337</v>
      </c>
      <c r="G24" s="8" t="s">
        <v>278</v>
      </c>
      <c r="H24" s="8" t="s">
        <v>279</v>
      </c>
      <c r="I24" s="8" t="s">
        <v>280</v>
      </c>
      <c r="J24" s="8" t="s">
        <v>281</v>
      </c>
      <c r="K24" s="8" t="s">
        <v>341</v>
      </c>
      <c r="L24" s="8" t="n">
        <v>100</v>
      </c>
      <c r="M24" s="8" t="s">
        <v>283</v>
      </c>
    </row>
    <row r="25" customFormat="false" ht="39" hidden="false" customHeight="true" outlineLevel="0" collapsed="false">
      <c r="A25" s="8" t="s">
        <v>106</v>
      </c>
      <c r="B25" s="8" t="n">
        <v>77</v>
      </c>
      <c r="C25" s="8" t="n">
        <v>38405174844</v>
      </c>
      <c r="D25" s="8" t="s">
        <v>284</v>
      </c>
      <c r="E25" s="8" t="s">
        <v>342</v>
      </c>
      <c r="F25" s="8" t="s">
        <v>337</v>
      </c>
      <c r="G25" s="8" t="s">
        <v>278</v>
      </c>
      <c r="H25" s="8" t="s">
        <v>279</v>
      </c>
      <c r="I25" s="8" t="s">
        <v>280</v>
      </c>
      <c r="J25" s="8" t="s">
        <v>281</v>
      </c>
      <c r="K25" s="8" t="s">
        <v>343</v>
      </c>
      <c r="L25" s="8" t="n">
        <v>100</v>
      </c>
      <c r="M25" s="8" t="s">
        <v>283</v>
      </c>
    </row>
    <row r="26" customFormat="false" ht="26.25" hidden="false" customHeight="true" outlineLevel="0" collapsed="false">
      <c r="A26" s="8" t="s">
        <v>106</v>
      </c>
      <c r="B26" s="8" t="n">
        <v>77</v>
      </c>
      <c r="C26" s="8" t="n">
        <v>38405218950</v>
      </c>
      <c r="D26" s="8" t="s">
        <v>284</v>
      </c>
      <c r="E26" s="8" t="s">
        <v>344</v>
      </c>
      <c r="F26" s="8" t="s">
        <v>337</v>
      </c>
      <c r="G26" s="8" t="s">
        <v>278</v>
      </c>
      <c r="H26" s="8" t="s">
        <v>279</v>
      </c>
      <c r="I26" s="8" t="s">
        <v>280</v>
      </c>
      <c r="J26" s="8" t="s">
        <v>345</v>
      </c>
      <c r="K26" s="8" t="s">
        <v>281</v>
      </c>
      <c r="L26" s="8" t="n">
        <v>85</v>
      </c>
      <c r="M26" s="8" t="s">
        <v>283</v>
      </c>
    </row>
    <row r="27" customFormat="false" ht="39" hidden="false" customHeight="true" outlineLevel="0" collapsed="false">
      <c r="A27" s="8" t="s">
        <v>115</v>
      </c>
      <c r="B27" s="8" t="n">
        <v>78</v>
      </c>
      <c r="C27" s="8" t="n">
        <v>38404607277</v>
      </c>
      <c r="D27" s="8" t="s">
        <v>275</v>
      </c>
      <c r="E27" s="8" t="s">
        <v>346</v>
      </c>
      <c r="F27" s="8" t="s">
        <v>347</v>
      </c>
      <c r="G27" s="8" t="s">
        <v>278</v>
      </c>
      <c r="H27" s="8" t="s">
        <v>279</v>
      </c>
      <c r="I27" s="8" t="s">
        <v>280</v>
      </c>
      <c r="J27" s="8" t="s">
        <v>348</v>
      </c>
      <c r="K27" s="8" t="s">
        <v>281</v>
      </c>
      <c r="L27" s="8" t="n">
        <v>85</v>
      </c>
      <c r="M27" s="8" t="s">
        <v>283</v>
      </c>
    </row>
    <row r="28" customFormat="false" ht="39" hidden="false" customHeight="true" outlineLevel="0" collapsed="false">
      <c r="A28" s="8" t="s">
        <v>115</v>
      </c>
      <c r="B28" s="8" t="n">
        <v>78</v>
      </c>
      <c r="C28" s="8" t="n">
        <v>38405075984</v>
      </c>
      <c r="D28" s="8" t="s">
        <v>284</v>
      </c>
      <c r="E28" s="8" t="s">
        <v>349</v>
      </c>
      <c r="F28" s="8" t="s">
        <v>347</v>
      </c>
      <c r="G28" s="8" t="s">
        <v>278</v>
      </c>
      <c r="H28" s="8" t="s">
        <v>279</v>
      </c>
      <c r="I28" s="8" t="s">
        <v>280</v>
      </c>
      <c r="J28" s="8" t="s">
        <v>350</v>
      </c>
      <c r="K28" s="8" t="s">
        <v>281</v>
      </c>
      <c r="L28" s="8" t="n">
        <v>85</v>
      </c>
      <c r="M28" s="8" t="s">
        <v>283</v>
      </c>
    </row>
    <row r="29" customFormat="false" ht="26.25" hidden="false" customHeight="true" outlineLevel="0" collapsed="false">
      <c r="A29" s="8" t="s">
        <v>115</v>
      </c>
      <c r="B29" s="8" t="n">
        <v>78</v>
      </c>
      <c r="C29" s="8" t="n">
        <v>38405183161</v>
      </c>
      <c r="D29" s="8" t="s">
        <v>284</v>
      </c>
      <c r="E29" s="8" t="s">
        <v>351</v>
      </c>
      <c r="F29" s="8" t="s">
        <v>347</v>
      </c>
      <c r="G29" s="8" t="s">
        <v>278</v>
      </c>
      <c r="H29" s="8" t="s">
        <v>279</v>
      </c>
      <c r="I29" s="8" t="s">
        <v>280</v>
      </c>
      <c r="J29" s="8" t="s">
        <v>352</v>
      </c>
      <c r="K29" s="8" t="s">
        <v>281</v>
      </c>
      <c r="L29" s="8" t="n">
        <v>85</v>
      </c>
      <c r="M29" s="8" t="s">
        <v>283</v>
      </c>
    </row>
    <row r="30" customFormat="false" ht="64.5" hidden="false" customHeight="true" outlineLevel="0" collapsed="false">
      <c r="A30" s="8" t="s">
        <v>123</v>
      </c>
      <c r="B30" s="8" t="n">
        <v>79</v>
      </c>
      <c r="C30" s="8" t="n">
        <v>38404612132</v>
      </c>
      <c r="D30" s="8" t="s">
        <v>275</v>
      </c>
      <c r="E30" s="8" t="s">
        <v>353</v>
      </c>
      <c r="F30" s="8" t="s">
        <v>354</v>
      </c>
      <c r="G30" s="8" t="s">
        <v>278</v>
      </c>
      <c r="H30" s="8" t="s">
        <v>279</v>
      </c>
      <c r="I30" s="8" t="s">
        <v>280</v>
      </c>
      <c r="J30" s="8" t="s">
        <v>355</v>
      </c>
      <c r="K30" s="8" t="s">
        <v>281</v>
      </c>
      <c r="L30" s="8" t="n">
        <v>65</v>
      </c>
      <c r="M30" s="8" t="s">
        <v>302</v>
      </c>
    </row>
    <row r="31" customFormat="false" ht="39" hidden="false" customHeight="true" outlineLevel="0" collapsed="false">
      <c r="A31" s="8" t="s">
        <v>123</v>
      </c>
      <c r="B31" s="8" t="n">
        <v>79</v>
      </c>
      <c r="C31" s="8" t="n">
        <v>38405084901</v>
      </c>
      <c r="D31" s="8" t="s">
        <v>284</v>
      </c>
      <c r="E31" s="8" t="s">
        <v>356</v>
      </c>
      <c r="F31" s="8" t="s">
        <v>354</v>
      </c>
      <c r="G31" s="8" t="s">
        <v>278</v>
      </c>
      <c r="H31" s="8" t="s">
        <v>279</v>
      </c>
      <c r="I31" s="8" t="s">
        <v>280</v>
      </c>
      <c r="J31" s="8" t="s">
        <v>357</v>
      </c>
      <c r="K31" s="8" t="s">
        <v>281</v>
      </c>
      <c r="L31" s="8" t="n">
        <v>70</v>
      </c>
      <c r="M31" s="8" t="s">
        <v>290</v>
      </c>
    </row>
    <row r="32" customFormat="false" ht="64.5" hidden="false" customHeight="true" outlineLevel="0" collapsed="false">
      <c r="A32" s="8" t="s">
        <v>123</v>
      </c>
      <c r="B32" s="8" t="n">
        <v>79</v>
      </c>
      <c r="C32" s="8" t="n">
        <v>38405192342</v>
      </c>
      <c r="D32" s="8" t="s">
        <v>284</v>
      </c>
      <c r="E32" s="8" t="s">
        <v>358</v>
      </c>
      <c r="F32" s="8" t="s">
        <v>354</v>
      </c>
      <c r="G32" s="8" t="s">
        <v>278</v>
      </c>
      <c r="H32" s="8" t="s">
        <v>279</v>
      </c>
      <c r="I32" s="8" t="s">
        <v>280</v>
      </c>
      <c r="J32" s="8" t="s">
        <v>359</v>
      </c>
      <c r="K32" s="8" t="s">
        <v>281</v>
      </c>
      <c r="L32" s="8" t="n">
        <v>65</v>
      </c>
      <c r="M32" s="8" t="s">
        <v>302</v>
      </c>
    </row>
    <row r="33" customFormat="false" ht="39" hidden="false" customHeight="true" outlineLevel="0" collapsed="false">
      <c r="A33" s="8" t="s">
        <v>132</v>
      </c>
      <c r="B33" s="8" t="n">
        <v>80</v>
      </c>
      <c r="C33" s="8" t="n">
        <v>38404613836</v>
      </c>
      <c r="D33" s="8" t="s">
        <v>275</v>
      </c>
      <c r="E33" s="8" t="s">
        <v>360</v>
      </c>
      <c r="F33" s="8" t="s">
        <v>361</v>
      </c>
      <c r="G33" s="8" t="s">
        <v>278</v>
      </c>
      <c r="H33" s="8" t="s">
        <v>279</v>
      </c>
      <c r="I33" s="8" t="s">
        <v>280</v>
      </c>
      <c r="J33" s="8" t="s">
        <v>362</v>
      </c>
      <c r="K33" s="8" t="s">
        <v>281</v>
      </c>
      <c r="L33" s="8" t="n">
        <v>70</v>
      </c>
      <c r="M33" s="8" t="s">
        <v>290</v>
      </c>
    </row>
    <row r="34" customFormat="false" ht="39" hidden="false" customHeight="true" outlineLevel="0" collapsed="false">
      <c r="A34" s="8" t="s">
        <v>132</v>
      </c>
      <c r="B34" s="8" t="n">
        <v>80</v>
      </c>
      <c r="C34" s="8" t="n">
        <v>38405093864</v>
      </c>
      <c r="D34" s="8" t="s">
        <v>284</v>
      </c>
      <c r="E34" s="8" t="s">
        <v>363</v>
      </c>
      <c r="F34" s="8" t="s">
        <v>361</v>
      </c>
      <c r="G34" s="8" t="s">
        <v>278</v>
      </c>
      <c r="H34" s="8" t="s">
        <v>279</v>
      </c>
      <c r="I34" s="8" t="s">
        <v>280</v>
      </c>
      <c r="J34" s="8" t="s">
        <v>364</v>
      </c>
      <c r="K34" s="8" t="s">
        <v>281</v>
      </c>
      <c r="L34" s="8" t="n">
        <v>70</v>
      </c>
      <c r="M34" s="8" t="s">
        <v>290</v>
      </c>
    </row>
    <row r="35" customFormat="false" ht="39" hidden="false" customHeight="true" outlineLevel="0" collapsed="false">
      <c r="A35" s="8" t="s">
        <v>132</v>
      </c>
      <c r="B35" s="8" t="n">
        <v>80</v>
      </c>
      <c r="C35" s="8" t="n">
        <v>38405200842</v>
      </c>
      <c r="D35" s="8" t="s">
        <v>284</v>
      </c>
      <c r="E35" s="8" t="s">
        <v>365</v>
      </c>
      <c r="F35" s="8" t="s">
        <v>361</v>
      </c>
      <c r="G35" s="8" t="s">
        <v>278</v>
      </c>
      <c r="H35" s="8" t="s">
        <v>279</v>
      </c>
      <c r="I35" s="8" t="s">
        <v>280</v>
      </c>
      <c r="J35" s="8" t="s">
        <v>366</v>
      </c>
      <c r="K35" s="8" t="s">
        <v>281</v>
      </c>
      <c r="L35" s="8" t="n">
        <v>70</v>
      </c>
      <c r="M35" s="8" t="s">
        <v>290</v>
      </c>
    </row>
    <row r="36" customFormat="false" ht="90" hidden="false" customHeight="true" outlineLevel="0" collapsed="false">
      <c r="A36" s="8" t="s">
        <v>139</v>
      </c>
      <c r="B36" s="8" t="n">
        <v>81</v>
      </c>
      <c r="C36" s="8" t="n">
        <v>38404619147</v>
      </c>
      <c r="D36" s="8" t="s">
        <v>275</v>
      </c>
      <c r="E36" s="8" t="s">
        <v>367</v>
      </c>
      <c r="F36" s="8" t="s">
        <v>368</v>
      </c>
      <c r="G36" s="8" t="s">
        <v>278</v>
      </c>
      <c r="H36" s="8" t="s">
        <v>279</v>
      </c>
      <c r="I36" s="8" t="s">
        <v>280</v>
      </c>
      <c r="J36" s="8" t="s">
        <v>369</v>
      </c>
      <c r="K36" s="8" t="s">
        <v>281</v>
      </c>
      <c r="L36" s="8" t="n">
        <v>50</v>
      </c>
      <c r="M36" s="8" t="s">
        <v>302</v>
      </c>
    </row>
    <row r="37" customFormat="false" ht="26.25" hidden="false" customHeight="true" outlineLevel="0" collapsed="false">
      <c r="A37" s="8" t="s">
        <v>139</v>
      </c>
      <c r="B37" s="8" t="n">
        <v>81</v>
      </c>
      <c r="C37" s="8" t="n">
        <v>38405103514</v>
      </c>
      <c r="D37" s="8" t="s">
        <v>284</v>
      </c>
      <c r="E37" s="8" t="s">
        <v>370</v>
      </c>
      <c r="F37" s="8" t="s">
        <v>368</v>
      </c>
      <c r="G37" s="8" t="s">
        <v>278</v>
      </c>
      <c r="H37" s="8" t="s">
        <v>279</v>
      </c>
      <c r="I37" s="8" t="s">
        <v>280</v>
      </c>
      <c r="J37" s="8" t="s">
        <v>371</v>
      </c>
      <c r="K37" s="8" t="s">
        <v>372</v>
      </c>
      <c r="L37" s="8" t="n">
        <v>95</v>
      </c>
      <c r="M37" s="8" t="s">
        <v>283</v>
      </c>
    </row>
    <row r="38" customFormat="false" ht="90" hidden="false" customHeight="true" outlineLevel="0" collapsed="false">
      <c r="A38" s="8" t="s">
        <v>139</v>
      </c>
      <c r="B38" s="8" t="n">
        <v>81</v>
      </c>
      <c r="C38" s="8" t="n">
        <v>38405210047</v>
      </c>
      <c r="D38" s="8" t="s">
        <v>284</v>
      </c>
      <c r="E38" s="8" t="s">
        <v>373</v>
      </c>
      <c r="F38" s="8" t="s">
        <v>368</v>
      </c>
      <c r="G38" s="8" t="s">
        <v>278</v>
      </c>
      <c r="H38" s="8" t="s">
        <v>279</v>
      </c>
      <c r="I38" s="8" t="s">
        <v>280</v>
      </c>
      <c r="J38" s="8" t="s">
        <v>281</v>
      </c>
      <c r="K38" s="8" t="s">
        <v>374</v>
      </c>
      <c r="L38" s="8" t="n">
        <v>100</v>
      </c>
      <c r="M38" s="8" t="s">
        <v>283</v>
      </c>
    </row>
    <row r="40" customFormat="false" ht="15" hidden="false" customHeight="true" outlineLevel="0" collapsed="false">
      <c r="A40" s="30" t="s">
        <v>375</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8" min="7" style="0" width="10"/>
    <col collapsed="false" customWidth="true" hidden="false" outlineLevel="0" max="9" min="9" style="0" width="8"/>
    <col collapsed="false" customWidth="true" hidden="false" outlineLevel="0" max="11" min="10" style="0" width="10"/>
    <col collapsed="false" customWidth="true" hidden="false" outlineLevel="0" max="12" min="12" style="0" width="22"/>
  </cols>
  <sheetData>
    <row r="1" customFormat="false" ht="17.35" hidden="false" customHeight="false" outlineLevel="0" collapsed="false">
      <c r="A1" s="17" t="s">
        <v>376</v>
      </c>
    </row>
    <row r="2" customFormat="false" ht="30" hidden="false" customHeight="true" outlineLevel="0" collapsed="false">
      <c r="A2" s="18" t="s">
        <v>377</v>
      </c>
      <c r="B2" s="18"/>
      <c r="C2" s="18"/>
      <c r="D2" s="18"/>
      <c r="E2" s="18"/>
      <c r="F2" s="18"/>
      <c r="G2" s="18"/>
      <c r="H2" s="18"/>
      <c r="I2" s="18"/>
      <c r="J2" s="18"/>
      <c r="K2" s="18"/>
      <c r="L2" s="18"/>
    </row>
    <row r="4" customFormat="false" ht="52.2" hidden="false" customHeight="false" outlineLevel="0" collapsed="false">
      <c r="A4" s="19" t="s">
        <v>185</v>
      </c>
      <c r="B4" s="19" t="s">
        <v>378</v>
      </c>
      <c r="C4" s="19" t="s">
        <v>264</v>
      </c>
      <c r="D4" s="19" t="s">
        <v>20</v>
      </c>
      <c r="E4" s="19" t="s">
        <v>271</v>
      </c>
      <c r="F4" s="19" t="s">
        <v>379</v>
      </c>
      <c r="G4" s="19" t="s">
        <v>380</v>
      </c>
      <c r="H4" s="19" t="s">
        <v>381</v>
      </c>
      <c r="I4" s="19" t="s">
        <v>279</v>
      </c>
      <c r="J4" s="19" t="s">
        <v>382</v>
      </c>
      <c r="K4" s="19" t="s">
        <v>273</v>
      </c>
      <c r="L4" s="19" t="s">
        <v>383</v>
      </c>
    </row>
    <row r="5" customFormat="false" ht="15" hidden="false" customHeight="false" outlineLevel="0" collapsed="false">
      <c r="A5" s="31" t="s">
        <v>32</v>
      </c>
      <c r="B5" s="31" t="n">
        <v>1</v>
      </c>
      <c r="C5" s="31" t="s">
        <v>384</v>
      </c>
      <c r="D5" s="31" t="s">
        <v>35</v>
      </c>
      <c r="E5" s="31" t="n">
        <f aca="false">COUNTIFS('AI Confirmed Findings'!$C$6:$C$59,C5,'AI Confirmed Findings'!$G$6:$G$59,"&lt;&gt;NONE")</f>
        <v>0</v>
      </c>
      <c r="F5" s="31" t="n">
        <f aca="false">COUNTIFS('AI Confirmed Findings'!$C$6:$C$59,C5,'AI Confirmed Findings'!$G$6:$G$59,"TARGET")</f>
        <v>0</v>
      </c>
      <c r="G5" s="31" t="n">
        <f aca="false">COUNTIFS('AI Confirmed Findings'!$C$6:$C$59,C5,'AI Confirmed Findings'!$G$6:$G$59,"EXTRA-VALID")</f>
        <v>0</v>
      </c>
      <c r="H5" s="31" t="n">
        <f aca="false">COUNTIFS('AI Confirmed Findings'!$C$6:$C$59,C5,'AI Confirmed Findings'!$G$6:$G$59,"DUPLICATE")</f>
        <v>0</v>
      </c>
      <c r="I5" s="31" t="n">
        <f aca="false">COUNTIFS('AI Confirmed Findings'!$C$6:$C$59,C5,'AI Confirmed Findings'!$G$6:$G$59,"FALSE")</f>
        <v>0</v>
      </c>
      <c r="J5" s="31" t="str">
        <f aca="false">IF(D5="Vulnerable",IF(F5&gt;0,"Y","N"),"n/a")</f>
        <v>n/a</v>
      </c>
      <c r="K5" s="32" t="n">
        <f aca="false">'Independent AI Runs'!L2</f>
        <v>100</v>
      </c>
      <c r="L5" s="32" t="str">
        <f aca="false">'Independent AI Runs'!M2</f>
        <v>APPROVE</v>
      </c>
    </row>
    <row r="6" customFormat="false" ht="15" hidden="false" customHeight="false" outlineLevel="0" collapsed="false">
      <c r="A6" s="31" t="s">
        <v>32</v>
      </c>
      <c r="B6" s="31" t="n">
        <v>2</v>
      </c>
      <c r="C6" s="31" t="s">
        <v>385</v>
      </c>
      <c r="D6" s="31" t="s">
        <v>35</v>
      </c>
      <c r="E6" s="31" t="n">
        <f aca="false">COUNTIFS('AI Confirmed Findings'!$C$6:$C$59,C6,'AI Confirmed Findings'!$G$6:$G$59,"&lt;&gt;NONE")</f>
        <v>0</v>
      </c>
      <c r="F6" s="31" t="n">
        <f aca="false">COUNTIFS('AI Confirmed Findings'!$C$6:$C$59,C6,'AI Confirmed Findings'!$G$6:$G$59,"TARGET")</f>
        <v>0</v>
      </c>
      <c r="G6" s="31" t="n">
        <f aca="false">COUNTIFS('AI Confirmed Findings'!$C$6:$C$59,C6,'AI Confirmed Findings'!$G$6:$G$59,"EXTRA-VALID")</f>
        <v>0</v>
      </c>
      <c r="H6" s="31" t="n">
        <f aca="false">COUNTIFS('AI Confirmed Findings'!$C$6:$C$59,C6,'AI Confirmed Findings'!$G$6:$G$59,"DUPLICATE")</f>
        <v>0</v>
      </c>
      <c r="I6" s="31" t="n">
        <f aca="false">COUNTIFS('AI Confirmed Findings'!$C$6:$C$59,C6,'AI Confirmed Findings'!$G$6:$G$59,"FALSE")</f>
        <v>0</v>
      </c>
      <c r="J6" s="31" t="str">
        <f aca="false">IF(D6="Vulnerable",IF(F6&gt;0,"Y","N"),"n/a")</f>
        <v>n/a</v>
      </c>
      <c r="K6" s="32" t="n">
        <f aca="false">'Independent AI Runs'!L3</f>
        <v>100</v>
      </c>
      <c r="L6" s="32" t="str">
        <f aca="false">'Independent AI Runs'!M3</f>
        <v>APPROVE</v>
      </c>
    </row>
    <row r="7" customFormat="false" ht="15" hidden="false" customHeight="false" outlineLevel="0" collapsed="false">
      <c r="A7" s="31" t="s">
        <v>32</v>
      </c>
      <c r="B7" s="31" t="n">
        <v>3</v>
      </c>
      <c r="C7" s="31" t="s">
        <v>386</v>
      </c>
      <c r="D7" s="31" t="s">
        <v>35</v>
      </c>
      <c r="E7" s="31" t="n">
        <f aca="false">COUNTIFS('AI Confirmed Findings'!$C$6:$C$59,C7,'AI Confirmed Findings'!$G$6:$G$59,"&lt;&gt;NONE")</f>
        <v>0</v>
      </c>
      <c r="F7" s="31" t="n">
        <f aca="false">COUNTIFS('AI Confirmed Findings'!$C$6:$C$59,C7,'AI Confirmed Findings'!$G$6:$G$59,"TARGET")</f>
        <v>0</v>
      </c>
      <c r="G7" s="31" t="n">
        <f aca="false">COUNTIFS('AI Confirmed Findings'!$C$6:$C$59,C7,'AI Confirmed Findings'!$G$6:$G$59,"EXTRA-VALID")</f>
        <v>0</v>
      </c>
      <c r="H7" s="31" t="n">
        <f aca="false">COUNTIFS('AI Confirmed Findings'!$C$6:$C$59,C7,'AI Confirmed Findings'!$G$6:$G$59,"DUPLICATE")</f>
        <v>0</v>
      </c>
      <c r="I7" s="31" t="n">
        <f aca="false">COUNTIFS('AI Confirmed Findings'!$C$6:$C$59,C7,'AI Confirmed Findings'!$G$6:$G$59,"FALSE")</f>
        <v>0</v>
      </c>
      <c r="J7" s="31" t="str">
        <f aca="false">IF(D7="Vulnerable",IF(F7&gt;0,"Y","N"),"n/a")</f>
        <v>n/a</v>
      </c>
      <c r="K7" s="32" t="n">
        <f aca="false">'Independent AI Runs'!L4</f>
        <v>100</v>
      </c>
      <c r="L7" s="32" t="str">
        <f aca="false">'Independent AI Runs'!M4</f>
        <v>APPROVE</v>
      </c>
    </row>
    <row r="8" customFormat="false" ht="15" hidden="false" customHeight="false" outlineLevel="0" collapsed="false">
      <c r="A8" s="31" t="s">
        <v>45</v>
      </c>
      <c r="B8" s="31" t="n">
        <v>1</v>
      </c>
      <c r="C8" s="31" t="s">
        <v>387</v>
      </c>
      <c r="D8" s="31" t="s">
        <v>48</v>
      </c>
      <c r="E8" s="31" t="n">
        <f aca="false">COUNTIFS('AI Confirmed Findings'!$C$6:$C$59,C8,'AI Confirmed Findings'!$G$6:$G$59,"&lt;&gt;NONE")</f>
        <v>1</v>
      </c>
      <c r="F8" s="31" t="n">
        <f aca="false">COUNTIFS('AI Confirmed Findings'!$C$6:$C$59,C8,'AI Confirmed Findings'!$G$6:$G$59,"TARGET")</f>
        <v>1</v>
      </c>
      <c r="G8" s="31" t="n">
        <f aca="false">COUNTIFS('AI Confirmed Findings'!$C$6:$C$59,C8,'AI Confirmed Findings'!$G$6:$G$59,"EXTRA-VALID")</f>
        <v>0</v>
      </c>
      <c r="H8" s="31" t="n">
        <f aca="false">COUNTIFS('AI Confirmed Findings'!$C$6:$C$59,C8,'AI Confirmed Findings'!$G$6:$G$59,"DUPLICATE")</f>
        <v>0</v>
      </c>
      <c r="I8" s="31" t="n">
        <f aca="false">COUNTIFS('AI Confirmed Findings'!$C$6:$C$59,C8,'AI Confirmed Findings'!$G$6:$G$59,"FALSE")</f>
        <v>0</v>
      </c>
      <c r="J8" s="31" t="str">
        <f aca="false">IF(D8="Vulnerable",IF(F8&gt;0,"Y","N"),"n/a")</f>
        <v>Y</v>
      </c>
      <c r="K8" s="32" t="n">
        <f aca="false">'Independent AI Runs'!L5</f>
        <v>70</v>
      </c>
      <c r="L8" s="32" t="str">
        <f aca="false">'Independent AI Runs'!M5</f>
        <v>APPROVE_WITH_COMMENTS</v>
      </c>
    </row>
    <row r="9" customFormat="false" ht="15" hidden="false" customHeight="false" outlineLevel="0" collapsed="false">
      <c r="A9" s="31" t="s">
        <v>45</v>
      </c>
      <c r="B9" s="31" t="n">
        <v>2</v>
      </c>
      <c r="C9" s="31" t="s">
        <v>388</v>
      </c>
      <c r="D9" s="31" t="s">
        <v>48</v>
      </c>
      <c r="E9" s="31" t="n">
        <f aca="false">COUNTIFS('AI Confirmed Findings'!$C$6:$C$59,C9,'AI Confirmed Findings'!$G$6:$G$59,"&lt;&gt;NONE")</f>
        <v>1</v>
      </c>
      <c r="F9" s="31" t="n">
        <f aca="false">COUNTIFS('AI Confirmed Findings'!$C$6:$C$59,C9,'AI Confirmed Findings'!$G$6:$G$59,"TARGET")</f>
        <v>1</v>
      </c>
      <c r="G9" s="31" t="n">
        <f aca="false">COUNTIFS('AI Confirmed Findings'!$C$6:$C$59,C9,'AI Confirmed Findings'!$G$6:$G$59,"EXTRA-VALID")</f>
        <v>0</v>
      </c>
      <c r="H9" s="31" t="n">
        <f aca="false">COUNTIFS('AI Confirmed Findings'!$C$6:$C$59,C9,'AI Confirmed Findings'!$G$6:$G$59,"DUPLICATE")</f>
        <v>0</v>
      </c>
      <c r="I9" s="31" t="n">
        <f aca="false">COUNTIFS('AI Confirmed Findings'!$C$6:$C$59,C9,'AI Confirmed Findings'!$G$6:$G$59,"FALSE")</f>
        <v>0</v>
      </c>
      <c r="J9" s="31" t="str">
        <f aca="false">IF(D9="Vulnerable",IF(F9&gt;0,"Y","N"),"n/a")</f>
        <v>Y</v>
      </c>
      <c r="K9" s="32" t="n">
        <f aca="false">'Independent AI Runs'!L6</f>
        <v>70</v>
      </c>
      <c r="L9" s="32" t="str">
        <f aca="false">'Independent AI Runs'!M6</f>
        <v>APPROVE_WITH_COMMENTS</v>
      </c>
    </row>
    <row r="10" customFormat="false" ht="15" hidden="false" customHeight="false" outlineLevel="0" collapsed="false">
      <c r="A10" s="31" t="s">
        <v>45</v>
      </c>
      <c r="B10" s="31" t="n">
        <v>3</v>
      </c>
      <c r="C10" s="31" t="s">
        <v>389</v>
      </c>
      <c r="D10" s="31" t="s">
        <v>48</v>
      </c>
      <c r="E10" s="31" t="n">
        <f aca="false">COUNTIFS('AI Confirmed Findings'!$C$6:$C$59,C10,'AI Confirmed Findings'!$G$6:$G$59,"&lt;&gt;NONE")</f>
        <v>1</v>
      </c>
      <c r="F10" s="31" t="n">
        <f aca="false">COUNTIFS('AI Confirmed Findings'!$C$6:$C$59,C10,'AI Confirmed Findings'!$G$6:$G$59,"TARGET")</f>
        <v>1</v>
      </c>
      <c r="G10" s="31" t="n">
        <f aca="false">COUNTIFS('AI Confirmed Findings'!$C$6:$C$59,C10,'AI Confirmed Findings'!$G$6:$G$59,"EXTRA-VALID")</f>
        <v>0</v>
      </c>
      <c r="H10" s="31" t="n">
        <f aca="false">COUNTIFS('AI Confirmed Findings'!$C$6:$C$59,C10,'AI Confirmed Findings'!$G$6:$G$59,"DUPLICATE")</f>
        <v>0</v>
      </c>
      <c r="I10" s="31" t="n">
        <f aca="false">COUNTIFS('AI Confirmed Findings'!$C$6:$C$59,C10,'AI Confirmed Findings'!$G$6:$G$59,"FALSE")</f>
        <v>0</v>
      </c>
      <c r="J10" s="31" t="str">
        <f aca="false">IF(D10="Vulnerable",IF(F10&gt;0,"Y","N"),"n/a")</f>
        <v>Y</v>
      </c>
      <c r="K10" s="32" t="n">
        <f aca="false">'Independent AI Runs'!L7</f>
        <v>70</v>
      </c>
      <c r="L10" s="32" t="str">
        <f aca="false">'Independent AI Runs'!M7</f>
        <v>APPROVE_WITH_COMMENTS</v>
      </c>
    </row>
    <row r="11" customFormat="false" ht="15" hidden="false" customHeight="false" outlineLevel="0" collapsed="false">
      <c r="A11" s="31" t="s">
        <v>58</v>
      </c>
      <c r="B11" s="31" t="n">
        <v>1</v>
      </c>
      <c r="C11" s="31" t="s">
        <v>390</v>
      </c>
      <c r="D11" s="31" t="s">
        <v>48</v>
      </c>
      <c r="E11" s="31" t="n">
        <f aca="false">COUNTIFS('AI Confirmed Findings'!$C$6:$C$59,C11,'AI Confirmed Findings'!$G$6:$G$59,"&lt;&gt;NONE")</f>
        <v>1</v>
      </c>
      <c r="F11" s="31" t="n">
        <f aca="false">COUNTIFS('AI Confirmed Findings'!$C$6:$C$59,C11,'AI Confirmed Findings'!$G$6:$G$59,"TARGET")</f>
        <v>1</v>
      </c>
      <c r="G11" s="31" t="n">
        <f aca="false">COUNTIFS('AI Confirmed Findings'!$C$6:$C$59,C11,'AI Confirmed Findings'!$G$6:$G$59,"EXTRA-VALID")</f>
        <v>0</v>
      </c>
      <c r="H11" s="31" t="n">
        <f aca="false">COUNTIFS('AI Confirmed Findings'!$C$6:$C$59,C11,'AI Confirmed Findings'!$G$6:$G$59,"DUPLICATE")</f>
        <v>0</v>
      </c>
      <c r="I11" s="31" t="n">
        <f aca="false">COUNTIFS('AI Confirmed Findings'!$C$6:$C$59,C11,'AI Confirmed Findings'!$G$6:$G$59,"FALSE")</f>
        <v>0</v>
      </c>
      <c r="J11" s="31" t="str">
        <f aca="false">IF(D11="Vulnerable",IF(F11&gt;0,"Y","N"),"n/a")</f>
        <v>Y</v>
      </c>
      <c r="K11" s="32" t="n">
        <f aca="false">'Independent AI Runs'!L8</f>
        <v>70</v>
      </c>
      <c r="L11" s="32" t="str">
        <f aca="false">'Independent AI Runs'!M8</f>
        <v>APPROVE_WITH_COMMENTS</v>
      </c>
    </row>
    <row r="12" customFormat="false" ht="15" hidden="false" customHeight="false" outlineLevel="0" collapsed="false">
      <c r="A12" s="31" t="s">
        <v>58</v>
      </c>
      <c r="B12" s="31" t="n">
        <v>2</v>
      </c>
      <c r="C12" s="31" t="s">
        <v>391</v>
      </c>
      <c r="D12" s="31" t="s">
        <v>48</v>
      </c>
      <c r="E12" s="31" t="n">
        <f aca="false">COUNTIFS('AI Confirmed Findings'!$C$6:$C$59,C12,'AI Confirmed Findings'!$G$6:$G$59,"&lt;&gt;NONE")</f>
        <v>1</v>
      </c>
      <c r="F12" s="31" t="n">
        <f aca="false">COUNTIFS('AI Confirmed Findings'!$C$6:$C$59,C12,'AI Confirmed Findings'!$G$6:$G$59,"TARGET")</f>
        <v>1</v>
      </c>
      <c r="G12" s="31" t="n">
        <f aca="false">COUNTIFS('AI Confirmed Findings'!$C$6:$C$59,C12,'AI Confirmed Findings'!$G$6:$G$59,"EXTRA-VALID")</f>
        <v>0</v>
      </c>
      <c r="H12" s="31" t="n">
        <f aca="false">COUNTIFS('AI Confirmed Findings'!$C$6:$C$59,C12,'AI Confirmed Findings'!$G$6:$G$59,"DUPLICATE")</f>
        <v>0</v>
      </c>
      <c r="I12" s="31" t="n">
        <f aca="false">COUNTIFS('AI Confirmed Findings'!$C$6:$C$59,C12,'AI Confirmed Findings'!$G$6:$G$59,"FALSE")</f>
        <v>0</v>
      </c>
      <c r="J12" s="31" t="str">
        <f aca="false">IF(D12="Vulnerable",IF(F12&gt;0,"Y","N"),"n/a")</f>
        <v>Y</v>
      </c>
      <c r="K12" s="32" t="n">
        <f aca="false">'Independent AI Runs'!L9</f>
        <v>70</v>
      </c>
      <c r="L12" s="32" t="str">
        <f aca="false">'Independent AI Runs'!M9</f>
        <v>APPROVE_WITH_COMMENTS</v>
      </c>
    </row>
    <row r="13" customFormat="false" ht="15" hidden="false" customHeight="false" outlineLevel="0" collapsed="false">
      <c r="A13" s="31" t="s">
        <v>58</v>
      </c>
      <c r="B13" s="31" t="n">
        <v>3</v>
      </c>
      <c r="C13" s="31" t="s">
        <v>392</v>
      </c>
      <c r="D13" s="31" t="s">
        <v>48</v>
      </c>
      <c r="E13" s="31" t="n">
        <f aca="false">COUNTIFS('AI Confirmed Findings'!$C$6:$C$59,C13,'AI Confirmed Findings'!$G$6:$G$59,"&lt;&gt;NONE")</f>
        <v>2</v>
      </c>
      <c r="F13" s="31" t="n">
        <f aca="false">COUNTIFS('AI Confirmed Findings'!$C$6:$C$59,C13,'AI Confirmed Findings'!$G$6:$G$59,"TARGET")</f>
        <v>1</v>
      </c>
      <c r="G13" s="31" t="n">
        <f aca="false">COUNTIFS('AI Confirmed Findings'!$C$6:$C$59,C13,'AI Confirmed Findings'!$G$6:$G$59,"EXTRA-VALID")</f>
        <v>0</v>
      </c>
      <c r="H13" s="31" t="n">
        <f aca="false">COUNTIFS('AI Confirmed Findings'!$C$6:$C$59,C13,'AI Confirmed Findings'!$G$6:$G$59,"DUPLICATE")</f>
        <v>1</v>
      </c>
      <c r="I13" s="31" t="n">
        <f aca="false">COUNTIFS('AI Confirmed Findings'!$C$6:$C$59,C13,'AI Confirmed Findings'!$G$6:$G$59,"FALSE")</f>
        <v>0</v>
      </c>
      <c r="J13" s="31" t="str">
        <f aca="false">IF(D13="Vulnerable",IF(F13&gt;0,"Y","N"),"n/a")</f>
        <v>Y</v>
      </c>
      <c r="K13" s="32" t="n">
        <f aca="false">'Independent AI Runs'!L10</f>
        <v>40</v>
      </c>
      <c r="L13" s="32" t="str">
        <f aca="false">'Independent AI Runs'!M10</f>
        <v>DO_NOT_MERGE</v>
      </c>
    </row>
    <row r="14" customFormat="false" ht="15" hidden="false" customHeight="false" outlineLevel="0" collapsed="false">
      <c r="A14" s="31" t="s">
        <v>68</v>
      </c>
      <c r="B14" s="31" t="n">
        <v>1</v>
      </c>
      <c r="C14" s="31" t="s">
        <v>393</v>
      </c>
      <c r="D14" s="31" t="s">
        <v>48</v>
      </c>
      <c r="E14" s="31" t="n">
        <f aca="false">COUNTIFS('AI Confirmed Findings'!$C$6:$C$59,C14,'AI Confirmed Findings'!$G$6:$G$59,"&lt;&gt;NONE")</f>
        <v>1</v>
      </c>
      <c r="F14" s="31" t="n">
        <f aca="false">COUNTIFS('AI Confirmed Findings'!$C$6:$C$59,C14,'AI Confirmed Findings'!$G$6:$G$59,"TARGET")</f>
        <v>1</v>
      </c>
      <c r="G14" s="31" t="n">
        <f aca="false">COUNTIFS('AI Confirmed Findings'!$C$6:$C$59,C14,'AI Confirmed Findings'!$G$6:$G$59,"EXTRA-VALID")</f>
        <v>0</v>
      </c>
      <c r="H14" s="31" t="n">
        <f aca="false">COUNTIFS('AI Confirmed Findings'!$C$6:$C$59,C14,'AI Confirmed Findings'!$G$6:$G$59,"DUPLICATE")</f>
        <v>0</v>
      </c>
      <c r="I14" s="31" t="n">
        <f aca="false">COUNTIFS('AI Confirmed Findings'!$C$6:$C$59,C14,'AI Confirmed Findings'!$G$6:$G$59,"FALSE")</f>
        <v>0</v>
      </c>
      <c r="J14" s="31" t="str">
        <f aca="false">IF(D14="Vulnerable",IF(F14&gt;0,"Y","N"),"n/a")</f>
        <v>Y</v>
      </c>
      <c r="K14" s="32" t="n">
        <f aca="false">'Independent AI Runs'!L11</f>
        <v>70</v>
      </c>
      <c r="L14" s="32" t="str">
        <f aca="false">'Independent AI Runs'!M11</f>
        <v>APPROVE_WITH_COMMENTS</v>
      </c>
    </row>
    <row r="15" customFormat="false" ht="15" hidden="false" customHeight="false" outlineLevel="0" collapsed="false">
      <c r="A15" s="31" t="s">
        <v>68</v>
      </c>
      <c r="B15" s="31" t="n">
        <v>2</v>
      </c>
      <c r="C15" s="31" t="s">
        <v>394</v>
      </c>
      <c r="D15" s="31" t="s">
        <v>48</v>
      </c>
      <c r="E15" s="31" t="n">
        <f aca="false">COUNTIFS('AI Confirmed Findings'!$C$6:$C$59,C15,'AI Confirmed Findings'!$G$6:$G$59,"&lt;&gt;NONE")</f>
        <v>1</v>
      </c>
      <c r="F15" s="31" t="n">
        <f aca="false">COUNTIFS('AI Confirmed Findings'!$C$6:$C$59,C15,'AI Confirmed Findings'!$G$6:$G$59,"TARGET")</f>
        <v>1</v>
      </c>
      <c r="G15" s="31" t="n">
        <f aca="false">COUNTIFS('AI Confirmed Findings'!$C$6:$C$59,C15,'AI Confirmed Findings'!$G$6:$G$59,"EXTRA-VALID")</f>
        <v>0</v>
      </c>
      <c r="H15" s="31" t="n">
        <f aca="false">COUNTIFS('AI Confirmed Findings'!$C$6:$C$59,C15,'AI Confirmed Findings'!$G$6:$G$59,"DUPLICATE")</f>
        <v>0</v>
      </c>
      <c r="I15" s="31" t="n">
        <f aca="false">COUNTIFS('AI Confirmed Findings'!$C$6:$C$59,C15,'AI Confirmed Findings'!$G$6:$G$59,"FALSE")</f>
        <v>0</v>
      </c>
      <c r="J15" s="31" t="str">
        <f aca="false">IF(D15="Vulnerable",IF(F15&gt;0,"Y","N"),"n/a")</f>
        <v>Y</v>
      </c>
      <c r="K15" s="32" t="n">
        <f aca="false">'Independent AI Runs'!L12</f>
        <v>70</v>
      </c>
      <c r="L15" s="32" t="str">
        <f aca="false">'Independent AI Runs'!M12</f>
        <v>APPROVE_WITH_COMMENTS</v>
      </c>
    </row>
    <row r="16" customFormat="false" ht="15" hidden="false" customHeight="false" outlineLevel="0" collapsed="false">
      <c r="A16" s="31" t="s">
        <v>68</v>
      </c>
      <c r="B16" s="31" t="n">
        <v>3</v>
      </c>
      <c r="C16" s="31" t="s">
        <v>395</v>
      </c>
      <c r="D16" s="31" t="s">
        <v>48</v>
      </c>
      <c r="E16" s="31" t="n">
        <f aca="false">COUNTIFS('AI Confirmed Findings'!$C$6:$C$59,C16,'AI Confirmed Findings'!$G$6:$G$59,"&lt;&gt;NONE")</f>
        <v>1</v>
      </c>
      <c r="F16" s="31" t="n">
        <f aca="false">COUNTIFS('AI Confirmed Findings'!$C$6:$C$59,C16,'AI Confirmed Findings'!$G$6:$G$59,"TARGET")</f>
        <v>1</v>
      </c>
      <c r="G16" s="31" t="n">
        <f aca="false">COUNTIFS('AI Confirmed Findings'!$C$6:$C$59,C16,'AI Confirmed Findings'!$G$6:$G$59,"EXTRA-VALID")</f>
        <v>0</v>
      </c>
      <c r="H16" s="31" t="n">
        <f aca="false">COUNTIFS('AI Confirmed Findings'!$C$6:$C$59,C16,'AI Confirmed Findings'!$G$6:$G$59,"DUPLICATE")</f>
        <v>0</v>
      </c>
      <c r="I16" s="31" t="n">
        <f aca="false">COUNTIFS('AI Confirmed Findings'!$C$6:$C$59,C16,'AI Confirmed Findings'!$G$6:$G$59,"FALSE")</f>
        <v>0</v>
      </c>
      <c r="J16" s="31" t="str">
        <f aca="false">IF(D16="Vulnerable",IF(F16&gt;0,"Y","N"),"n/a")</f>
        <v>Y</v>
      </c>
      <c r="K16" s="32" t="n">
        <f aca="false">'Independent AI Runs'!L13</f>
        <v>70</v>
      </c>
      <c r="L16" s="32" t="str">
        <f aca="false">'Independent AI Runs'!M13</f>
        <v>APPROVE_WITH_COMMENTS</v>
      </c>
    </row>
    <row r="17" customFormat="false" ht="15" hidden="false" customHeight="false" outlineLevel="0" collapsed="false">
      <c r="A17" s="31" t="s">
        <v>78</v>
      </c>
      <c r="B17" s="31" t="n">
        <v>1</v>
      </c>
      <c r="C17" s="31" t="s">
        <v>396</v>
      </c>
      <c r="D17" s="31" t="s">
        <v>48</v>
      </c>
      <c r="E17" s="31" t="n">
        <f aca="false">COUNTIFS('AI Confirmed Findings'!$C$6:$C$59,C17,'AI Confirmed Findings'!$G$6:$G$59,"&lt;&gt;NONE")</f>
        <v>1</v>
      </c>
      <c r="F17" s="31" t="n">
        <f aca="false">COUNTIFS('AI Confirmed Findings'!$C$6:$C$59,C17,'AI Confirmed Findings'!$G$6:$G$59,"TARGET")</f>
        <v>1</v>
      </c>
      <c r="G17" s="31" t="n">
        <f aca="false">COUNTIFS('AI Confirmed Findings'!$C$6:$C$59,C17,'AI Confirmed Findings'!$G$6:$G$59,"EXTRA-VALID")</f>
        <v>0</v>
      </c>
      <c r="H17" s="31" t="n">
        <f aca="false">COUNTIFS('AI Confirmed Findings'!$C$6:$C$59,C17,'AI Confirmed Findings'!$G$6:$G$59,"DUPLICATE")</f>
        <v>0</v>
      </c>
      <c r="I17" s="31" t="n">
        <f aca="false">COUNTIFS('AI Confirmed Findings'!$C$6:$C$59,C17,'AI Confirmed Findings'!$G$6:$G$59,"FALSE")</f>
        <v>0</v>
      </c>
      <c r="J17" s="31" t="str">
        <f aca="false">IF(D17="Vulnerable",IF(F17&gt;0,"Y","N"),"n/a")</f>
        <v>Y</v>
      </c>
      <c r="K17" s="32" t="n">
        <f aca="false">'Independent AI Runs'!L14</f>
        <v>70</v>
      </c>
      <c r="L17" s="32" t="str">
        <f aca="false">'Independent AI Runs'!M14</f>
        <v>APPROVE_WITH_COMMENTS</v>
      </c>
    </row>
    <row r="18" customFormat="false" ht="15" hidden="false" customHeight="false" outlineLevel="0" collapsed="false">
      <c r="A18" s="31" t="s">
        <v>78</v>
      </c>
      <c r="B18" s="31" t="n">
        <v>2</v>
      </c>
      <c r="C18" s="31" t="s">
        <v>397</v>
      </c>
      <c r="D18" s="31" t="s">
        <v>48</v>
      </c>
      <c r="E18" s="31" t="n">
        <f aca="false">COUNTIFS('AI Confirmed Findings'!$C$6:$C$59,C18,'AI Confirmed Findings'!$G$6:$G$59,"&lt;&gt;NONE")</f>
        <v>1</v>
      </c>
      <c r="F18" s="31" t="n">
        <f aca="false">COUNTIFS('AI Confirmed Findings'!$C$6:$C$59,C18,'AI Confirmed Findings'!$G$6:$G$59,"TARGET")</f>
        <v>1</v>
      </c>
      <c r="G18" s="31" t="n">
        <f aca="false">COUNTIFS('AI Confirmed Findings'!$C$6:$C$59,C18,'AI Confirmed Findings'!$G$6:$G$59,"EXTRA-VALID")</f>
        <v>0</v>
      </c>
      <c r="H18" s="31" t="n">
        <f aca="false">COUNTIFS('AI Confirmed Findings'!$C$6:$C$59,C18,'AI Confirmed Findings'!$G$6:$G$59,"DUPLICATE")</f>
        <v>0</v>
      </c>
      <c r="I18" s="31" t="n">
        <f aca="false">COUNTIFS('AI Confirmed Findings'!$C$6:$C$59,C18,'AI Confirmed Findings'!$G$6:$G$59,"FALSE")</f>
        <v>0</v>
      </c>
      <c r="J18" s="31" t="str">
        <f aca="false">IF(D18="Vulnerable",IF(F18&gt;0,"Y","N"),"n/a")</f>
        <v>Y</v>
      </c>
      <c r="K18" s="32" t="n">
        <f aca="false">'Independent AI Runs'!L15</f>
        <v>70</v>
      </c>
      <c r="L18" s="32" t="str">
        <f aca="false">'Independent AI Runs'!M15</f>
        <v>APPROVE_WITH_COMMENTS</v>
      </c>
    </row>
    <row r="19" customFormat="false" ht="15" hidden="false" customHeight="false" outlineLevel="0" collapsed="false">
      <c r="A19" s="31" t="s">
        <v>78</v>
      </c>
      <c r="B19" s="31" t="n">
        <v>3</v>
      </c>
      <c r="C19" s="31" t="s">
        <v>398</v>
      </c>
      <c r="D19" s="31" t="s">
        <v>48</v>
      </c>
      <c r="E19" s="31" t="n">
        <f aca="false">COUNTIFS('AI Confirmed Findings'!$C$6:$C$59,C19,'AI Confirmed Findings'!$G$6:$G$59,"&lt;&gt;NONE")</f>
        <v>1</v>
      </c>
      <c r="F19" s="31" t="n">
        <f aca="false">COUNTIFS('AI Confirmed Findings'!$C$6:$C$59,C19,'AI Confirmed Findings'!$G$6:$G$59,"TARGET")</f>
        <v>1</v>
      </c>
      <c r="G19" s="31" t="n">
        <f aca="false">COUNTIFS('AI Confirmed Findings'!$C$6:$C$59,C19,'AI Confirmed Findings'!$G$6:$G$59,"EXTRA-VALID")</f>
        <v>0</v>
      </c>
      <c r="H19" s="31" t="n">
        <f aca="false">COUNTIFS('AI Confirmed Findings'!$C$6:$C$59,C19,'AI Confirmed Findings'!$G$6:$G$59,"DUPLICATE")</f>
        <v>0</v>
      </c>
      <c r="I19" s="31" t="n">
        <f aca="false">COUNTIFS('AI Confirmed Findings'!$C$6:$C$59,C19,'AI Confirmed Findings'!$G$6:$G$59,"FALSE")</f>
        <v>0</v>
      </c>
      <c r="J19" s="31" t="str">
        <f aca="false">IF(D19="Vulnerable",IF(F19&gt;0,"Y","N"),"n/a")</f>
        <v>Y</v>
      </c>
      <c r="K19" s="32" t="n">
        <f aca="false">'Independent AI Runs'!L16</f>
        <v>85</v>
      </c>
      <c r="L19" s="32" t="str">
        <f aca="false">'Independent AI Runs'!M16</f>
        <v>APPROVE</v>
      </c>
    </row>
    <row r="20" customFormat="false" ht="15" hidden="false" customHeight="false" outlineLevel="0" collapsed="false">
      <c r="A20" s="31" t="s">
        <v>87</v>
      </c>
      <c r="B20" s="31" t="n">
        <v>1</v>
      </c>
      <c r="C20" s="31" t="s">
        <v>399</v>
      </c>
      <c r="D20" s="31" t="s">
        <v>48</v>
      </c>
      <c r="E20" s="31" t="n">
        <f aca="false">COUNTIFS('AI Confirmed Findings'!$C$6:$C$59,C20,'AI Confirmed Findings'!$G$6:$G$59,"&lt;&gt;NONE")</f>
        <v>1</v>
      </c>
      <c r="F20" s="31" t="n">
        <f aca="false">COUNTIFS('AI Confirmed Findings'!$C$6:$C$59,C20,'AI Confirmed Findings'!$G$6:$G$59,"TARGET")</f>
        <v>1</v>
      </c>
      <c r="G20" s="31" t="n">
        <f aca="false">COUNTIFS('AI Confirmed Findings'!$C$6:$C$59,C20,'AI Confirmed Findings'!$G$6:$G$59,"EXTRA-VALID")</f>
        <v>0</v>
      </c>
      <c r="H20" s="31" t="n">
        <f aca="false">COUNTIFS('AI Confirmed Findings'!$C$6:$C$59,C20,'AI Confirmed Findings'!$G$6:$G$59,"DUPLICATE")</f>
        <v>0</v>
      </c>
      <c r="I20" s="31" t="n">
        <f aca="false">COUNTIFS('AI Confirmed Findings'!$C$6:$C$59,C20,'AI Confirmed Findings'!$G$6:$G$59,"FALSE")</f>
        <v>0</v>
      </c>
      <c r="J20" s="31" t="str">
        <f aca="false">IF(D20="Vulnerable",IF(F20&gt;0,"Y","N"),"n/a")</f>
        <v>Y</v>
      </c>
      <c r="K20" s="32" t="n">
        <f aca="false">'Independent AI Runs'!L17</f>
        <v>85</v>
      </c>
      <c r="L20" s="32" t="str">
        <f aca="false">'Independent AI Runs'!M17</f>
        <v>APPROVE</v>
      </c>
    </row>
    <row r="21" customFormat="false" ht="15" hidden="false" customHeight="false" outlineLevel="0" collapsed="false">
      <c r="A21" s="31" t="s">
        <v>87</v>
      </c>
      <c r="B21" s="31" t="n">
        <v>2</v>
      </c>
      <c r="C21" s="31" t="s">
        <v>400</v>
      </c>
      <c r="D21" s="31" t="s">
        <v>48</v>
      </c>
      <c r="E21" s="31" t="n">
        <f aca="false">COUNTIFS('AI Confirmed Findings'!$C$6:$C$59,C21,'AI Confirmed Findings'!$G$6:$G$59,"&lt;&gt;NONE")</f>
        <v>1</v>
      </c>
      <c r="F21" s="31" t="n">
        <f aca="false">COUNTIFS('AI Confirmed Findings'!$C$6:$C$59,C21,'AI Confirmed Findings'!$G$6:$G$59,"TARGET")</f>
        <v>1</v>
      </c>
      <c r="G21" s="31" t="n">
        <f aca="false">COUNTIFS('AI Confirmed Findings'!$C$6:$C$59,C21,'AI Confirmed Findings'!$G$6:$G$59,"EXTRA-VALID")</f>
        <v>0</v>
      </c>
      <c r="H21" s="31" t="n">
        <f aca="false">COUNTIFS('AI Confirmed Findings'!$C$6:$C$59,C21,'AI Confirmed Findings'!$G$6:$G$59,"DUPLICATE")</f>
        <v>0</v>
      </c>
      <c r="I21" s="31" t="n">
        <f aca="false">COUNTIFS('AI Confirmed Findings'!$C$6:$C$59,C21,'AI Confirmed Findings'!$G$6:$G$59,"FALSE")</f>
        <v>0</v>
      </c>
      <c r="J21" s="31" t="str">
        <f aca="false">IF(D21="Vulnerable",IF(F21&gt;0,"Y","N"),"n/a")</f>
        <v>Y</v>
      </c>
      <c r="K21" s="32" t="n">
        <f aca="false">'Independent AI Runs'!L18</f>
        <v>85</v>
      </c>
      <c r="L21" s="32" t="str">
        <f aca="false">'Independent AI Runs'!M18</f>
        <v>APPROVE</v>
      </c>
    </row>
    <row r="22" customFormat="false" ht="15" hidden="false" customHeight="false" outlineLevel="0" collapsed="false">
      <c r="A22" s="31" t="s">
        <v>87</v>
      </c>
      <c r="B22" s="31" t="n">
        <v>3</v>
      </c>
      <c r="C22" s="31" t="s">
        <v>401</v>
      </c>
      <c r="D22" s="31" t="s">
        <v>48</v>
      </c>
      <c r="E22" s="31" t="n">
        <f aca="false">COUNTIFS('AI Confirmed Findings'!$C$6:$C$59,C22,'AI Confirmed Findings'!$G$6:$G$59,"&lt;&gt;NONE")</f>
        <v>1</v>
      </c>
      <c r="F22" s="31" t="n">
        <f aca="false">COUNTIFS('AI Confirmed Findings'!$C$6:$C$59,C22,'AI Confirmed Findings'!$G$6:$G$59,"TARGET")</f>
        <v>1</v>
      </c>
      <c r="G22" s="31" t="n">
        <f aca="false">COUNTIFS('AI Confirmed Findings'!$C$6:$C$59,C22,'AI Confirmed Findings'!$G$6:$G$59,"EXTRA-VALID")</f>
        <v>0</v>
      </c>
      <c r="H22" s="31" t="n">
        <f aca="false">COUNTIFS('AI Confirmed Findings'!$C$6:$C$59,C22,'AI Confirmed Findings'!$G$6:$G$59,"DUPLICATE")</f>
        <v>0</v>
      </c>
      <c r="I22" s="31" t="n">
        <f aca="false">COUNTIFS('AI Confirmed Findings'!$C$6:$C$59,C22,'AI Confirmed Findings'!$G$6:$G$59,"FALSE")</f>
        <v>0</v>
      </c>
      <c r="J22" s="31" t="str">
        <f aca="false">IF(D22="Vulnerable",IF(F22&gt;0,"Y","N"),"n/a")</f>
        <v>Y</v>
      </c>
      <c r="K22" s="32" t="n">
        <f aca="false">'Independent AI Runs'!L19</f>
        <v>85</v>
      </c>
      <c r="L22" s="32" t="str">
        <f aca="false">'Independent AI Runs'!M19</f>
        <v>APPROVE</v>
      </c>
    </row>
    <row r="23" customFormat="false" ht="15" hidden="false" customHeight="false" outlineLevel="0" collapsed="false">
      <c r="A23" s="31" t="s">
        <v>96</v>
      </c>
      <c r="B23" s="31" t="n">
        <v>1</v>
      </c>
      <c r="C23" s="31" t="s">
        <v>402</v>
      </c>
      <c r="D23" s="31" t="s">
        <v>48</v>
      </c>
      <c r="E23" s="31" t="n">
        <f aca="false">COUNTIFS('AI Confirmed Findings'!$C$6:$C$59,C23,'AI Confirmed Findings'!$G$6:$G$59,"&lt;&gt;NONE")</f>
        <v>2</v>
      </c>
      <c r="F23" s="31" t="n">
        <f aca="false">COUNTIFS('AI Confirmed Findings'!$C$6:$C$59,C23,'AI Confirmed Findings'!$G$6:$G$59,"TARGET")</f>
        <v>1</v>
      </c>
      <c r="G23" s="31" t="n">
        <f aca="false">COUNTIFS('AI Confirmed Findings'!$C$6:$C$59,C23,'AI Confirmed Findings'!$G$6:$G$59,"EXTRA-VALID")</f>
        <v>1</v>
      </c>
      <c r="H23" s="31" t="n">
        <f aca="false">COUNTIFS('AI Confirmed Findings'!$C$6:$C$59,C23,'AI Confirmed Findings'!$G$6:$G$59,"DUPLICATE")</f>
        <v>0</v>
      </c>
      <c r="I23" s="31" t="n">
        <f aca="false">COUNTIFS('AI Confirmed Findings'!$C$6:$C$59,C23,'AI Confirmed Findings'!$G$6:$G$59,"FALSE")</f>
        <v>0</v>
      </c>
      <c r="J23" s="31" t="str">
        <f aca="false">IF(D23="Vulnerable",IF(F23&gt;0,"Y","N"),"n/a")</f>
        <v>Y</v>
      </c>
      <c r="K23" s="32" t="n">
        <f aca="false">'Independent AI Runs'!L20</f>
        <v>65</v>
      </c>
      <c r="L23" s="32" t="str">
        <f aca="false">'Independent AI Runs'!M20</f>
        <v>DO_NOT_MERGE</v>
      </c>
    </row>
    <row r="24" customFormat="false" ht="15" hidden="false" customHeight="false" outlineLevel="0" collapsed="false">
      <c r="A24" s="31" t="s">
        <v>96</v>
      </c>
      <c r="B24" s="31" t="n">
        <v>2</v>
      </c>
      <c r="C24" s="31" t="s">
        <v>403</v>
      </c>
      <c r="D24" s="31" t="s">
        <v>48</v>
      </c>
      <c r="E24" s="31" t="n">
        <f aca="false">COUNTIFS('AI Confirmed Findings'!$C$6:$C$59,C24,'AI Confirmed Findings'!$G$6:$G$59,"&lt;&gt;NONE")</f>
        <v>2</v>
      </c>
      <c r="F24" s="31" t="n">
        <f aca="false">COUNTIFS('AI Confirmed Findings'!$C$6:$C$59,C24,'AI Confirmed Findings'!$G$6:$G$59,"TARGET")</f>
        <v>1</v>
      </c>
      <c r="G24" s="31" t="n">
        <f aca="false">COUNTIFS('AI Confirmed Findings'!$C$6:$C$59,C24,'AI Confirmed Findings'!$G$6:$G$59,"EXTRA-VALID")</f>
        <v>1</v>
      </c>
      <c r="H24" s="31" t="n">
        <f aca="false">COUNTIFS('AI Confirmed Findings'!$C$6:$C$59,C24,'AI Confirmed Findings'!$G$6:$G$59,"DUPLICATE")</f>
        <v>0</v>
      </c>
      <c r="I24" s="31" t="n">
        <f aca="false">COUNTIFS('AI Confirmed Findings'!$C$6:$C$59,C24,'AI Confirmed Findings'!$G$6:$G$59,"FALSE")</f>
        <v>0</v>
      </c>
      <c r="J24" s="31" t="str">
        <f aca="false">IF(D24="Vulnerable",IF(F24&gt;0,"Y","N"),"n/a")</f>
        <v>Y</v>
      </c>
      <c r="K24" s="32" t="n">
        <f aca="false">'Independent AI Runs'!L21</f>
        <v>65</v>
      </c>
      <c r="L24" s="32" t="str">
        <f aca="false">'Independent AI Runs'!M21</f>
        <v>DO_NOT_MERGE</v>
      </c>
    </row>
    <row r="25" customFormat="false" ht="15" hidden="false" customHeight="false" outlineLevel="0" collapsed="false">
      <c r="A25" s="31" t="s">
        <v>96</v>
      </c>
      <c r="B25" s="31" t="n">
        <v>3</v>
      </c>
      <c r="C25" s="31" t="s">
        <v>404</v>
      </c>
      <c r="D25" s="31" t="s">
        <v>48</v>
      </c>
      <c r="E25" s="31" t="n">
        <f aca="false">COUNTIFS('AI Confirmed Findings'!$C$6:$C$59,C25,'AI Confirmed Findings'!$G$6:$G$59,"&lt;&gt;NONE")</f>
        <v>2</v>
      </c>
      <c r="F25" s="31" t="n">
        <f aca="false">COUNTIFS('AI Confirmed Findings'!$C$6:$C$59,C25,'AI Confirmed Findings'!$G$6:$G$59,"TARGET")</f>
        <v>1</v>
      </c>
      <c r="G25" s="31" t="n">
        <f aca="false">COUNTIFS('AI Confirmed Findings'!$C$6:$C$59,C25,'AI Confirmed Findings'!$G$6:$G$59,"EXTRA-VALID")</f>
        <v>1</v>
      </c>
      <c r="H25" s="31" t="n">
        <f aca="false">COUNTIFS('AI Confirmed Findings'!$C$6:$C$59,C25,'AI Confirmed Findings'!$G$6:$G$59,"DUPLICATE")</f>
        <v>0</v>
      </c>
      <c r="I25" s="31" t="n">
        <f aca="false">COUNTIFS('AI Confirmed Findings'!$C$6:$C$59,C25,'AI Confirmed Findings'!$G$6:$G$59,"FALSE")</f>
        <v>0</v>
      </c>
      <c r="J25" s="31" t="str">
        <f aca="false">IF(D25="Vulnerable",IF(F25&gt;0,"Y","N"),"n/a")</f>
        <v>Y</v>
      </c>
      <c r="K25" s="32" t="n">
        <f aca="false">'Independent AI Runs'!L22</f>
        <v>65</v>
      </c>
      <c r="L25" s="32" t="str">
        <f aca="false">'Independent AI Runs'!M22</f>
        <v>DO_NOT_MERGE</v>
      </c>
    </row>
    <row r="26" customFormat="false" ht="15" hidden="false" customHeight="false" outlineLevel="0" collapsed="false">
      <c r="A26" s="31" t="s">
        <v>106</v>
      </c>
      <c r="B26" s="31" t="n">
        <v>1</v>
      </c>
      <c r="C26" s="31" t="s">
        <v>405</v>
      </c>
      <c r="D26" s="31" t="s">
        <v>48</v>
      </c>
      <c r="E26" s="31" t="n">
        <f aca="false">COUNTIFS('AI Confirmed Findings'!$C$6:$C$59,C26,'AI Confirmed Findings'!$G$6:$G$59,"&lt;&gt;NONE")</f>
        <v>0</v>
      </c>
      <c r="F26" s="31" t="n">
        <f aca="false">COUNTIFS('AI Confirmed Findings'!$C$6:$C$59,C26,'AI Confirmed Findings'!$G$6:$G$59,"TARGET")</f>
        <v>0</v>
      </c>
      <c r="G26" s="31" t="n">
        <f aca="false">COUNTIFS('AI Confirmed Findings'!$C$6:$C$59,C26,'AI Confirmed Findings'!$G$6:$G$59,"EXTRA-VALID")</f>
        <v>0</v>
      </c>
      <c r="H26" s="31" t="n">
        <f aca="false">COUNTIFS('AI Confirmed Findings'!$C$6:$C$59,C26,'AI Confirmed Findings'!$G$6:$G$59,"DUPLICATE")</f>
        <v>0</v>
      </c>
      <c r="I26" s="31" t="n">
        <f aca="false">COUNTIFS('AI Confirmed Findings'!$C$6:$C$59,C26,'AI Confirmed Findings'!$G$6:$G$59,"FALSE")</f>
        <v>0</v>
      </c>
      <c r="J26" s="31" t="str">
        <f aca="false">IF(D26="Vulnerable",IF(F26&gt;0,"Y","N"),"n/a")</f>
        <v>N</v>
      </c>
      <c r="K26" s="32" t="str">
        <f aca="false">'Independent AI Runs'!L23</f>
        <v>—</v>
      </c>
      <c r="L26" s="32" t="str">
        <f aca="false">'Independent AI Runs'!M23</f>
        <v>—</v>
      </c>
    </row>
    <row r="27" customFormat="false" ht="15" hidden="false" customHeight="false" outlineLevel="0" collapsed="false">
      <c r="A27" s="31" t="s">
        <v>106</v>
      </c>
      <c r="B27" s="31" t="n">
        <v>2</v>
      </c>
      <c r="C27" s="31" t="s">
        <v>406</v>
      </c>
      <c r="D27" s="31" t="s">
        <v>48</v>
      </c>
      <c r="E27" s="31" t="n">
        <f aca="false">COUNTIFS('AI Confirmed Findings'!$C$6:$C$59,C27,'AI Confirmed Findings'!$G$6:$G$59,"&lt;&gt;NONE")</f>
        <v>0</v>
      </c>
      <c r="F27" s="31" t="n">
        <f aca="false">COUNTIFS('AI Confirmed Findings'!$C$6:$C$59,C27,'AI Confirmed Findings'!$G$6:$G$59,"TARGET")</f>
        <v>0</v>
      </c>
      <c r="G27" s="31" t="n">
        <f aca="false">COUNTIFS('AI Confirmed Findings'!$C$6:$C$59,C27,'AI Confirmed Findings'!$G$6:$G$59,"EXTRA-VALID")</f>
        <v>0</v>
      </c>
      <c r="H27" s="31" t="n">
        <f aca="false">COUNTIFS('AI Confirmed Findings'!$C$6:$C$59,C27,'AI Confirmed Findings'!$G$6:$G$59,"DUPLICATE")</f>
        <v>0</v>
      </c>
      <c r="I27" s="31" t="n">
        <f aca="false">COUNTIFS('AI Confirmed Findings'!$C$6:$C$59,C27,'AI Confirmed Findings'!$G$6:$G$59,"FALSE")</f>
        <v>0</v>
      </c>
      <c r="J27" s="31" t="str">
        <f aca="false">IF(D27="Vulnerable",IF(F27&gt;0,"Y","N"),"n/a")</f>
        <v>N</v>
      </c>
      <c r="K27" s="32" t="n">
        <f aca="false">'Independent AI Runs'!L24</f>
        <v>100</v>
      </c>
      <c r="L27" s="32" t="str">
        <f aca="false">'Independent AI Runs'!M24</f>
        <v>APPROVE</v>
      </c>
    </row>
    <row r="28" customFormat="false" ht="15" hidden="false" customHeight="false" outlineLevel="0" collapsed="false">
      <c r="A28" s="31" t="s">
        <v>106</v>
      </c>
      <c r="B28" s="31" t="n">
        <v>3</v>
      </c>
      <c r="C28" s="31" t="s">
        <v>407</v>
      </c>
      <c r="D28" s="31" t="s">
        <v>48</v>
      </c>
      <c r="E28" s="31" t="n">
        <f aca="false">COUNTIFS('AI Confirmed Findings'!$C$6:$C$59,C28,'AI Confirmed Findings'!$G$6:$G$59,"&lt;&gt;NONE")</f>
        <v>0</v>
      </c>
      <c r="F28" s="31" t="n">
        <f aca="false">COUNTIFS('AI Confirmed Findings'!$C$6:$C$59,C28,'AI Confirmed Findings'!$G$6:$G$59,"TARGET")</f>
        <v>0</v>
      </c>
      <c r="G28" s="31" t="n">
        <f aca="false">COUNTIFS('AI Confirmed Findings'!$C$6:$C$59,C28,'AI Confirmed Findings'!$G$6:$G$59,"EXTRA-VALID")</f>
        <v>0</v>
      </c>
      <c r="H28" s="31" t="n">
        <f aca="false">COUNTIFS('AI Confirmed Findings'!$C$6:$C$59,C28,'AI Confirmed Findings'!$G$6:$G$59,"DUPLICATE")</f>
        <v>0</v>
      </c>
      <c r="I28" s="31" t="n">
        <f aca="false">COUNTIFS('AI Confirmed Findings'!$C$6:$C$59,C28,'AI Confirmed Findings'!$G$6:$G$59,"FALSE")</f>
        <v>0</v>
      </c>
      <c r="J28" s="31" t="str">
        <f aca="false">IF(D28="Vulnerable",IF(F28&gt;0,"Y","N"),"n/a")</f>
        <v>N</v>
      </c>
      <c r="K28" s="32" t="n">
        <f aca="false">'Independent AI Runs'!L25</f>
        <v>100</v>
      </c>
      <c r="L28" s="32" t="str">
        <f aca="false">'Independent AI Runs'!M25</f>
        <v>APPROVE</v>
      </c>
    </row>
    <row r="29" customFormat="false" ht="15" hidden="false" customHeight="false" outlineLevel="0" collapsed="false">
      <c r="A29" s="31" t="s">
        <v>106</v>
      </c>
      <c r="B29" s="31" t="n">
        <v>4</v>
      </c>
      <c r="C29" s="31" t="s">
        <v>408</v>
      </c>
      <c r="D29" s="31" t="s">
        <v>48</v>
      </c>
      <c r="E29" s="31" t="n">
        <f aca="false">COUNTIFS('AI Confirmed Findings'!$C$6:$C$59,C29,'AI Confirmed Findings'!$G$6:$G$59,"&lt;&gt;NONE")</f>
        <v>1</v>
      </c>
      <c r="F29" s="31" t="n">
        <f aca="false">COUNTIFS('AI Confirmed Findings'!$C$6:$C$59,C29,'AI Confirmed Findings'!$G$6:$G$59,"TARGET")</f>
        <v>1</v>
      </c>
      <c r="G29" s="31" t="n">
        <f aca="false">COUNTIFS('AI Confirmed Findings'!$C$6:$C$59,C29,'AI Confirmed Findings'!$G$6:$G$59,"EXTRA-VALID")</f>
        <v>0</v>
      </c>
      <c r="H29" s="31" t="n">
        <f aca="false">COUNTIFS('AI Confirmed Findings'!$C$6:$C$59,C29,'AI Confirmed Findings'!$G$6:$G$59,"DUPLICATE")</f>
        <v>0</v>
      </c>
      <c r="I29" s="31" t="n">
        <f aca="false">COUNTIFS('AI Confirmed Findings'!$C$6:$C$59,C29,'AI Confirmed Findings'!$G$6:$G$59,"FALSE")</f>
        <v>0</v>
      </c>
      <c r="J29" s="31" t="str">
        <f aca="false">IF(D29="Vulnerable",IF(F29&gt;0,"Y","N"),"n/a")</f>
        <v>Y</v>
      </c>
      <c r="K29" s="32" t="n">
        <f aca="false">'Independent AI Runs'!L26</f>
        <v>85</v>
      </c>
      <c r="L29" s="32" t="str">
        <f aca="false">'Independent AI Runs'!M26</f>
        <v>APPROVE</v>
      </c>
    </row>
    <row r="30" customFormat="false" ht="15" hidden="false" customHeight="false" outlineLevel="0" collapsed="false">
      <c r="A30" s="31" t="s">
        <v>115</v>
      </c>
      <c r="B30" s="31" t="n">
        <v>1</v>
      </c>
      <c r="C30" s="31" t="s">
        <v>409</v>
      </c>
      <c r="D30" s="31" t="s">
        <v>48</v>
      </c>
      <c r="E30" s="31" t="n">
        <f aca="false">COUNTIFS('AI Confirmed Findings'!$C$6:$C$59,C30,'AI Confirmed Findings'!$G$6:$G$59,"&lt;&gt;NONE")</f>
        <v>1</v>
      </c>
      <c r="F30" s="31" t="n">
        <f aca="false">COUNTIFS('AI Confirmed Findings'!$C$6:$C$59,C30,'AI Confirmed Findings'!$G$6:$G$59,"TARGET")</f>
        <v>1</v>
      </c>
      <c r="G30" s="31" t="n">
        <f aca="false">COUNTIFS('AI Confirmed Findings'!$C$6:$C$59,C30,'AI Confirmed Findings'!$G$6:$G$59,"EXTRA-VALID")</f>
        <v>0</v>
      </c>
      <c r="H30" s="31" t="n">
        <f aca="false">COUNTIFS('AI Confirmed Findings'!$C$6:$C$59,C30,'AI Confirmed Findings'!$G$6:$G$59,"DUPLICATE")</f>
        <v>0</v>
      </c>
      <c r="I30" s="31" t="n">
        <f aca="false">COUNTIFS('AI Confirmed Findings'!$C$6:$C$59,C30,'AI Confirmed Findings'!$G$6:$G$59,"FALSE")</f>
        <v>0</v>
      </c>
      <c r="J30" s="31" t="str">
        <f aca="false">IF(D30="Vulnerable",IF(F30&gt;0,"Y","N"),"n/a")</f>
        <v>Y</v>
      </c>
      <c r="K30" s="32" t="n">
        <f aca="false">'Independent AI Runs'!L27</f>
        <v>85</v>
      </c>
      <c r="L30" s="32" t="str">
        <f aca="false">'Independent AI Runs'!M27</f>
        <v>APPROVE</v>
      </c>
    </row>
    <row r="31" customFormat="false" ht="15" hidden="false" customHeight="false" outlineLevel="0" collapsed="false">
      <c r="A31" s="31" t="s">
        <v>115</v>
      </c>
      <c r="B31" s="31" t="n">
        <v>2</v>
      </c>
      <c r="C31" s="31" t="s">
        <v>410</v>
      </c>
      <c r="D31" s="31" t="s">
        <v>48</v>
      </c>
      <c r="E31" s="31" t="n">
        <f aca="false">COUNTIFS('AI Confirmed Findings'!$C$6:$C$59,C31,'AI Confirmed Findings'!$G$6:$G$59,"&lt;&gt;NONE")</f>
        <v>1</v>
      </c>
      <c r="F31" s="31" t="n">
        <f aca="false">COUNTIFS('AI Confirmed Findings'!$C$6:$C$59,C31,'AI Confirmed Findings'!$G$6:$G$59,"TARGET")</f>
        <v>1</v>
      </c>
      <c r="G31" s="31" t="n">
        <f aca="false">COUNTIFS('AI Confirmed Findings'!$C$6:$C$59,C31,'AI Confirmed Findings'!$G$6:$G$59,"EXTRA-VALID")</f>
        <v>0</v>
      </c>
      <c r="H31" s="31" t="n">
        <f aca="false">COUNTIFS('AI Confirmed Findings'!$C$6:$C$59,C31,'AI Confirmed Findings'!$G$6:$G$59,"DUPLICATE")</f>
        <v>0</v>
      </c>
      <c r="I31" s="31" t="n">
        <f aca="false">COUNTIFS('AI Confirmed Findings'!$C$6:$C$59,C31,'AI Confirmed Findings'!$G$6:$G$59,"FALSE")</f>
        <v>0</v>
      </c>
      <c r="J31" s="31" t="str">
        <f aca="false">IF(D31="Vulnerable",IF(F31&gt;0,"Y","N"),"n/a")</f>
        <v>Y</v>
      </c>
      <c r="K31" s="32" t="n">
        <f aca="false">'Independent AI Runs'!L28</f>
        <v>85</v>
      </c>
      <c r="L31" s="32" t="str">
        <f aca="false">'Independent AI Runs'!M28</f>
        <v>APPROVE</v>
      </c>
    </row>
    <row r="32" customFormat="false" ht="15" hidden="false" customHeight="false" outlineLevel="0" collapsed="false">
      <c r="A32" s="31" t="s">
        <v>115</v>
      </c>
      <c r="B32" s="31" t="n">
        <v>3</v>
      </c>
      <c r="C32" s="31" t="s">
        <v>411</v>
      </c>
      <c r="D32" s="31" t="s">
        <v>48</v>
      </c>
      <c r="E32" s="31" t="n">
        <f aca="false">COUNTIFS('AI Confirmed Findings'!$C$6:$C$59,C32,'AI Confirmed Findings'!$G$6:$G$59,"&lt;&gt;NONE")</f>
        <v>1</v>
      </c>
      <c r="F32" s="31" t="n">
        <f aca="false">COUNTIFS('AI Confirmed Findings'!$C$6:$C$59,C32,'AI Confirmed Findings'!$G$6:$G$59,"TARGET")</f>
        <v>1</v>
      </c>
      <c r="G32" s="31" t="n">
        <f aca="false">COUNTIFS('AI Confirmed Findings'!$C$6:$C$59,C32,'AI Confirmed Findings'!$G$6:$G$59,"EXTRA-VALID")</f>
        <v>0</v>
      </c>
      <c r="H32" s="31" t="n">
        <f aca="false">COUNTIFS('AI Confirmed Findings'!$C$6:$C$59,C32,'AI Confirmed Findings'!$G$6:$G$59,"DUPLICATE")</f>
        <v>0</v>
      </c>
      <c r="I32" s="31" t="n">
        <f aca="false">COUNTIFS('AI Confirmed Findings'!$C$6:$C$59,C32,'AI Confirmed Findings'!$G$6:$G$59,"FALSE")</f>
        <v>0</v>
      </c>
      <c r="J32" s="31" t="str">
        <f aca="false">IF(D32="Vulnerable",IF(F32&gt;0,"Y","N"),"n/a")</f>
        <v>Y</v>
      </c>
      <c r="K32" s="32" t="n">
        <f aca="false">'Independent AI Runs'!L29</f>
        <v>85</v>
      </c>
      <c r="L32" s="32" t="str">
        <f aca="false">'Independent AI Runs'!M29</f>
        <v>APPROVE</v>
      </c>
    </row>
    <row r="33" customFormat="false" ht="15" hidden="false" customHeight="false" outlineLevel="0" collapsed="false">
      <c r="A33" s="31" t="s">
        <v>123</v>
      </c>
      <c r="B33" s="31" t="n">
        <v>1</v>
      </c>
      <c r="C33" s="31" t="s">
        <v>412</v>
      </c>
      <c r="D33" s="31" t="s">
        <v>48</v>
      </c>
      <c r="E33" s="31" t="n">
        <f aca="false">COUNTIFS('AI Confirmed Findings'!$C$6:$C$59,C33,'AI Confirmed Findings'!$G$6:$G$59,"&lt;&gt;NONE")</f>
        <v>2</v>
      </c>
      <c r="F33" s="31" t="n">
        <f aca="false">COUNTIFS('AI Confirmed Findings'!$C$6:$C$59,C33,'AI Confirmed Findings'!$G$6:$G$59,"TARGET")</f>
        <v>1</v>
      </c>
      <c r="G33" s="31" t="n">
        <f aca="false">COUNTIFS('AI Confirmed Findings'!$C$6:$C$59,C33,'AI Confirmed Findings'!$G$6:$G$59,"EXTRA-VALID")</f>
        <v>0</v>
      </c>
      <c r="H33" s="31" t="n">
        <f aca="false">COUNTIFS('AI Confirmed Findings'!$C$6:$C$59,C33,'AI Confirmed Findings'!$G$6:$G$59,"DUPLICATE")</f>
        <v>0</v>
      </c>
      <c r="I33" s="31" t="n">
        <f aca="false">COUNTIFS('AI Confirmed Findings'!$C$6:$C$59,C33,'AI Confirmed Findings'!$G$6:$G$59,"FALSE")</f>
        <v>1</v>
      </c>
      <c r="J33" s="31" t="str">
        <f aca="false">IF(D33="Vulnerable",IF(F33&gt;0,"Y","N"),"n/a")</f>
        <v>Y</v>
      </c>
      <c r="K33" s="32" t="n">
        <f aca="false">'Independent AI Runs'!L30</f>
        <v>65</v>
      </c>
      <c r="L33" s="32" t="str">
        <f aca="false">'Independent AI Runs'!M30</f>
        <v>DO_NOT_MERGE</v>
      </c>
    </row>
    <row r="34" customFormat="false" ht="15" hidden="false" customHeight="false" outlineLevel="0" collapsed="false">
      <c r="A34" s="31" t="s">
        <v>123</v>
      </c>
      <c r="B34" s="31" t="n">
        <v>2</v>
      </c>
      <c r="C34" s="31" t="s">
        <v>413</v>
      </c>
      <c r="D34" s="31" t="s">
        <v>48</v>
      </c>
      <c r="E34" s="31" t="n">
        <f aca="false">COUNTIFS('AI Confirmed Findings'!$C$6:$C$59,C34,'AI Confirmed Findings'!$G$6:$G$59,"&lt;&gt;NONE")</f>
        <v>1</v>
      </c>
      <c r="F34" s="31" t="n">
        <f aca="false">COUNTIFS('AI Confirmed Findings'!$C$6:$C$59,C34,'AI Confirmed Findings'!$G$6:$G$59,"TARGET")</f>
        <v>1</v>
      </c>
      <c r="G34" s="31" t="n">
        <f aca="false">COUNTIFS('AI Confirmed Findings'!$C$6:$C$59,C34,'AI Confirmed Findings'!$G$6:$G$59,"EXTRA-VALID")</f>
        <v>0</v>
      </c>
      <c r="H34" s="31" t="n">
        <f aca="false">COUNTIFS('AI Confirmed Findings'!$C$6:$C$59,C34,'AI Confirmed Findings'!$G$6:$G$59,"DUPLICATE")</f>
        <v>0</v>
      </c>
      <c r="I34" s="31" t="n">
        <f aca="false">COUNTIFS('AI Confirmed Findings'!$C$6:$C$59,C34,'AI Confirmed Findings'!$G$6:$G$59,"FALSE")</f>
        <v>0</v>
      </c>
      <c r="J34" s="31" t="str">
        <f aca="false">IF(D34="Vulnerable",IF(F34&gt;0,"Y","N"),"n/a")</f>
        <v>Y</v>
      </c>
      <c r="K34" s="32" t="n">
        <f aca="false">'Independent AI Runs'!L31</f>
        <v>70</v>
      </c>
      <c r="L34" s="32" t="str">
        <f aca="false">'Independent AI Runs'!M31</f>
        <v>APPROVE_WITH_COMMENTS</v>
      </c>
    </row>
    <row r="35" customFormat="false" ht="15" hidden="false" customHeight="false" outlineLevel="0" collapsed="false">
      <c r="A35" s="31" t="s">
        <v>123</v>
      </c>
      <c r="B35" s="31" t="n">
        <v>3</v>
      </c>
      <c r="C35" s="31" t="s">
        <v>414</v>
      </c>
      <c r="D35" s="31" t="s">
        <v>48</v>
      </c>
      <c r="E35" s="31" t="n">
        <f aca="false">COUNTIFS('AI Confirmed Findings'!$C$6:$C$59,C35,'AI Confirmed Findings'!$G$6:$G$59,"&lt;&gt;NONE")</f>
        <v>2</v>
      </c>
      <c r="F35" s="31" t="n">
        <f aca="false">COUNTIFS('AI Confirmed Findings'!$C$6:$C$59,C35,'AI Confirmed Findings'!$G$6:$G$59,"TARGET")</f>
        <v>1</v>
      </c>
      <c r="G35" s="31" t="n">
        <f aca="false">COUNTIFS('AI Confirmed Findings'!$C$6:$C$59,C35,'AI Confirmed Findings'!$G$6:$G$59,"EXTRA-VALID")</f>
        <v>0</v>
      </c>
      <c r="H35" s="31" t="n">
        <f aca="false">COUNTIFS('AI Confirmed Findings'!$C$6:$C$59,C35,'AI Confirmed Findings'!$G$6:$G$59,"DUPLICATE")</f>
        <v>0</v>
      </c>
      <c r="I35" s="31" t="n">
        <f aca="false">COUNTIFS('AI Confirmed Findings'!$C$6:$C$59,C35,'AI Confirmed Findings'!$G$6:$G$59,"FALSE")</f>
        <v>1</v>
      </c>
      <c r="J35" s="31" t="str">
        <f aca="false">IF(D35="Vulnerable",IF(F35&gt;0,"Y","N"),"n/a")</f>
        <v>Y</v>
      </c>
      <c r="K35" s="32" t="n">
        <f aca="false">'Independent AI Runs'!L32</f>
        <v>65</v>
      </c>
      <c r="L35" s="32" t="str">
        <f aca="false">'Independent AI Runs'!M32</f>
        <v>DO_NOT_MERGE</v>
      </c>
    </row>
    <row r="36" customFormat="false" ht="15" hidden="false" customHeight="false" outlineLevel="0" collapsed="false">
      <c r="A36" s="31" t="s">
        <v>132</v>
      </c>
      <c r="B36" s="31" t="n">
        <v>1</v>
      </c>
      <c r="C36" s="31" t="s">
        <v>415</v>
      </c>
      <c r="D36" s="31" t="s">
        <v>48</v>
      </c>
      <c r="E36" s="31" t="n">
        <f aca="false">COUNTIFS('AI Confirmed Findings'!$C$6:$C$59,C36,'AI Confirmed Findings'!$G$6:$G$59,"&lt;&gt;NONE")</f>
        <v>1</v>
      </c>
      <c r="F36" s="31" t="n">
        <f aca="false">COUNTIFS('AI Confirmed Findings'!$C$6:$C$59,C36,'AI Confirmed Findings'!$G$6:$G$59,"TARGET")</f>
        <v>1</v>
      </c>
      <c r="G36" s="31" t="n">
        <f aca="false">COUNTIFS('AI Confirmed Findings'!$C$6:$C$59,C36,'AI Confirmed Findings'!$G$6:$G$59,"EXTRA-VALID")</f>
        <v>0</v>
      </c>
      <c r="H36" s="31" t="n">
        <f aca="false">COUNTIFS('AI Confirmed Findings'!$C$6:$C$59,C36,'AI Confirmed Findings'!$G$6:$G$59,"DUPLICATE")</f>
        <v>0</v>
      </c>
      <c r="I36" s="31" t="n">
        <f aca="false">COUNTIFS('AI Confirmed Findings'!$C$6:$C$59,C36,'AI Confirmed Findings'!$G$6:$G$59,"FALSE")</f>
        <v>0</v>
      </c>
      <c r="J36" s="31" t="str">
        <f aca="false">IF(D36="Vulnerable",IF(F36&gt;0,"Y","N"),"n/a")</f>
        <v>Y</v>
      </c>
      <c r="K36" s="32" t="n">
        <f aca="false">'Independent AI Runs'!L33</f>
        <v>70</v>
      </c>
      <c r="L36" s="32" t="str">
        <f aca="false">'Independent AI Runs'!M33</f>
        <v>APPROVE_WITH_COMMENTS</v>
      </c>
    </row>
    <row r="37" customFormat="false" ht="15" hidden="false" customHeight="false" outlineLevel="0" collapsed="false">
      <c r="A37" s="31" t="s">
        <v>132</v>
      </c>
      <c r="B37" s="31" t="n">
        <v>2</v>
      </c>
      <c r="C37" s="31" t="s">
        <v>416</v>
      </c>
      <c r="D37" s="31" t="s">
        <v>48</v>
      </c>
      <c r="E37" s="31" t="n">
        <f aca="false">COUNTIFS('AI Confirmed Findings'!$C$6:$C$59,C37,'AI Confirmed Findings'!$G$6:$G$59,"&lt;&gt;NONE")</f>
        <v>1</v>
      </c>
      <c r="F37" s="31" t="n">
        <f aca="false">COUNTIFS('AI Confirmed Findings'!$C$6:$C$59,C37,'AI Confirmed Findings'!$G$6:$G$59,"TARGET")</f>
        <v>1</v>
      </c>
      <c r="G37" s="31" t="n">
        <f aca="false">COUNTIFS('AI Confirmed Findings'!$C$6:$C$59,C37,'AI Confirmed Findings'!$G$6:$G$59,"EXTRA-VALID")</f>
        <v>0</v>
      </c>
      <c r="H37" s="31" t="n">
        <f aca="false">COUNTIFS('AI Confirmed Findings'!$C$6:$C$59,C37,'AI Confirmed Findings'!$G$6:$G$59,"DUPLICATE")</f>
        <v>0</v>
      </c>
      <c r="I37" s="31" t="n">
        <f aca="false">COUNTIFS('AI Confirmed Findings'!$C$6:$C$59,C37,'AI Confirmed Findings'!$G$6:$G$59,"FALSE")</f>
        <v>0</v>
      </c>
      <c r="J37" s="31" t="str">
        <f aca="false">IF(D37="Vulnerable",IF(F37&gt;0,"Y","N"),"n/a")</f>
        <v>Y</v>
      </c>
      <c r="K37" s="32" t="n">
        <f aca="false">'Independent AI Runs'!L34</f>
        <v>70</v>
      </c>
      <c r="L37" s="32" t="str">
        <f aca="false">'Independent AI Runs'!M34</f>
        <v>APPROVE_WITH_COMMENTS</v>
      </c>
    </row>
    <row r="38" customFormat="false" ht="15" hidden="false" customHeight="false" outlineLevel="0" collapsed="false">
      <c r="A38" s="31" t="s">
        <v>132</v>
      </c>
      <c r="B38" s="31" t="n">
        <v>3</v>
      </c>
      <c r="C38" s="31" t="s">
        <v>417</v>
      </c>
      <c r="D38" s="31" t="s">
        <v>48</v>
      </c>
      <c r="E38" s="31" t="n">
        <f aca="false">COUNTIFS('AI Confirmed Findings'!$C$6:$C$59,C38,'AI Confirmed Findings'!$G$6:$G$59,"&lt;&gt;NONE")</f>
        <v>1</v>
      </c>
      <c r="F38" s="31" t="n">
        <f aca="false">COUNTIFS('AI Confirmed Findings'!$C$6:$C$59,C38,'AI Confirmed Findings'!$G$6:$G$59,"TARGET")</f>
        <v>1</v>
      </c>
      <c r="G38" s="31" t="n">
        <f aca="false">COUNTIFS('AI Confirmed Findings'!$C$6:$C$59,C38,'AI Confirmed Findings'!$G$6:$G$59,"EXTRA-VALID")</f>
        <v>0</v>
      </c>
      <c r="H38" s="31" t="n">
        <f aca="false">COUNTIFS('AI Confirmed Findings'!$C$6:$C$59,C38,'AI Confirmed Findings'!$G$6:$G$59,"DUPLICATE")</f>
        <v>0</v>
      </c>
      <c r="I38" s="31" t="n">
        <f aca="false">COUNTIFS('AI Confirmed Findings'!$C$6:$C$59,C38,'AI Confirmed Findings'!$G$6:$G$59,"FALSE")</f>
        <v>0</v>
      </c>
      <c r="J38" s="31" t="str">
        <f aca="false">IF(D38="Vulnerable",IF(F38&gt;0,"Y","N"),"n/a")</f>
        <v>Y</v>
      </c>
      <c r="K38" s="32" t="n">
        <f aca="false">'Independent AI Runs'!L35</f>
        <v>70</v>
      </c>
      <c r="L38" s="32" t="str">
        <f aca="false">'Independent AI Runs'!M35</f>
        <v>APPROVE_WITH_COMMENTS</v>
      </c>
    </row>
    <row r="39" customFormat="false" ht="15" hidden="false" customHeight="false" outlineLevel="0" collapsed="false">
      <c r="A39" s="31" t="s">
        <v>139</v>
      </c>
      <c r="B39" s="31" t="n">
        <v>1</v>
      </c>
      <c r="C39" s="31" t="s">
        <v>418</v>
      </c>
      <c r="D39" s="31" t="s">
        <v>142</v>
      </c>
      <c r="E39" s="31" t="n">
        <f aca="false">COUNTIFS('AI Confirmed Findings'!$C$6:$C$59,C39,'AI Confirmed Findings'!$G$6:$G$59,"&lt;&gt;NONE")</f>
        <v>3</v>
      </c>
      <c r="F39" s="31" t="n">
        <f aca="false">COUNTIFS('AI Confirmed Findings'!$C$6:$C$59,C39,'AI Confirmed Findings'!$G$6:$G$59,"TARGET")</f>
        <v>0</v>
      </c>
      <c r="G39" s="31" t="n">
        <f aca="false">COUNTIFS('AI Confirmed Findings'!$C$6:$C$59,C39,'AI Confirmed Findings'!$G$6:$G$59,"EXTRA-VALID")</f>
        <v>0</v>
      </c>
      <c r="H39" s="31" t="n">
        <f aca="false">COUNTIFS('AI Confirmed Findings'!$C$6:$C$59,C39,'AI Confirmed Findings'!$G$6:$G$59,"DUPLICATE")</f>
        <v>0</v>
      </c>
      <c r="I39" s="31" t="n">
        <f aca="false">COUNTIFS('AI Confirmed Findings'!$C$6:$C$59,C39,'AI Confirmed Findings'!$G$6:$G$59,"FALSE")</f>
        <v>3</v>
      </c>
      <c r="J39" s="31" t="str">
        <f aca="false">IF(D39="Vulnerable",IF(F39&gt;0,"Y","N"),"n/a")</f>
        <v>n/a</v>
      </c>
      <c r="K39" s="32" t="n">
        <f aca="false">'Independent AI Runs'!L36</f>
        <v>50</v>
      </c>
      <c r="L39" s="32" t="str">
        <f aca="false">'Independent AI Runs'!M36</f>
        <v>DO_NOT_MERGE</v>
      </c>
    </row>
    <row r="40" customFormat="false" ht="15" hidden="false" customHeight="false" outlineLevel="0" collapsed="false">
      <c r="A40" s="31" t="s">
        <v>139</v>
      </c>
      <c r="B40" s="31" t="n">
        <v>2</v>
      </c>
      <c r="C40" s="31" t="s">
        <v>419</v>
      </c>
      <c r="D40" s="31" t="s">
        <v>142</v>
      </c>
      <c r="E40" s="31" t="n">
        <f aca="false">COUNTIFS('AI Confirmed Findings'!$C$6:$C$59,C40,'AI Confirmed Findings'!$G$6:$G$59,"&lt;&gt;NONE")</f>
        <v>1</v>
      </c>
      <c r="F40" s="31" t="n">
        <f aca="false">COUNTIFS('AI Confirmed Findings'!$C$6:$C$59,C40,'AI Confirmed Findings'!$G$6:$G$59,"TARGET")</f>
        <v>0</v>
      </c>
      <c r="G40" s="31" t="n">
        <f aca="false">COUNTIFS('AI Confirmed Findings'!$C$6:$C$59,C40,'AI Confirmed Findings'!$G$6:$G$59,"EXTRA-VALID")</f>
        <v>0</v>
      </c>
      <c r="H40" s="31" t="n">
        <f aca="false">COUNTIFS('AI Confirmed Findings'!$C$6:$C$59,C40,'AI Confirmed Findings'!$G$6:$G$59,"DUPLICATE")</f>
        <v>0</v>
      </c>
      <c r="I40" s="31" t="n">
        <f aca="false">COUNTIFS('AI Confirmed Findings'!$C$6:$C$59,C40,'AI Confirmed Findings'!$G$6:$G$59,"FALSE")</f>
        <v>1</v>
      </c>
      <c r="J40" s="31" t="str">
        <f aca="false">IF(D40="Vulnerable",IF(F40&gt;0,"Y","N"),"n/a")</f>
        <v>n/a</v>
      </c>
      <c r="K40" s="32" t="n">
        <f aca="false">'Independent AI Runs'!L37</f>
        <v>95</v>
      </c>
      <c r="L40" s="32" t="str">
        <f aca="false">'Independent AI Runs'!M37</f>
        <v>APPROVE</v>
      </c>
    </row>
    <row r="41" customFormat="false" ht="15" hidden="false" customHeight="false" outlineLevel="0" collapsed="false">
      <c r="A41" s="31" t="s">
        <v>139</v>
      </c>
      <c r="B41" s="31" t="n">
        <v>3</v>
      </c>
      <c r="C41" s="31" t="s">
        <v>420</v>
      </c>
      <c r="D41" s="31" t="s">
        <v>142</v>
      </c>
      <c r="E41" s="31" t="n">
        <f aca="false">COUNTIFS('AI Confirmed Findings'!$C$6:$C$59,C41,'AI Confirmed Findings'!$G$6:$G$59,"&lt;&gt;NONE")</f>
        <v>0</v>
      </c>
      <c r="F41" s="31" t="n">
        <f aca="false">COUNTIFS('AI Confirmed Findings'!$C$6:$C$59,C41,'AI Confirmed Findings'!$G$6:$G$59,"TARGET")</f>
        <v>0</v>
      </c>
      <c r="G41" s="31" t="n">
        <f aca="false">COUNTIFS('AI Confirmed Findings'!$C$6:$C$59,C41,'AI Confirmed Findings'!$G$6:$G$59,"EXTRA-VALID")</f>
        <v>0</v>
      </c>
      <c r="H41" s="31" t="n">
        <f aca="false">COUNTIFS('AI Confirmed Findings'!$C$6:$C$59,C41,'AI Confirmed Findings'!$G$6:$G$59,"DUPLICATE")</f>
        <v>0</v>
      </c>
      <c r="I41" s="31" t="n">
        <f aca="false">COUNTIFS('AI Confirmed Findings'!$C$6:$C$59,C41,'AI Confirmed Findings'!$G$6:$G$59,"FALSE")</f>
        <v>0</v>
      </c>
      <c r="J41" s="31" t="str">
        <f aca="false">IF(D41="Vulnerable",IF(F41&gt;0,"Y","N"),"n/a")</f>
        <v>n/a</v>
      </c>
      <c r="K41" s="32" t="n">
        <f aca="false">'Independent AI Runs'!L38</f>
        <v>100</v>
      </c>
      <c r="L41" s="32" t="str">
        <f aca="false">'Independent AI Runs'!M38</f>
        <v>APPROVE</v>
      </c>
    </row>
    <row r="42" customFormat="false" ht="15" hidden="false" customHeight="false" outlineLevel="0" collapsed="false">
      <c r="A42" s="31" t="s">
        <v>194</v>
      </c>
      <c r="B42" s="31" t="n">
        <v>1</v>
      </c>
      <c r="C42" s="31" t="s">
        <v>421</v>
      </c>
      <c r="D42" s="31" t="s">
        <v>48</v>
      </c>
      <c r="E42" s="31" t="n">
        <f aca="false">COUNTIFS('AI Confirmed Findings'!$C$6:$C$59,C42,'AI Confirmed Findings'!$G$6:$G$59,"&lt;&gt;NONE")</f>
        <v>1</v>
      </c>
      <c r="F42" s="31" t="n">
        <f aca="false">COUNTIFS('AI Confirmed Findings'!$C$6:$C$59,C42,'AI Confirmed Findings'!$G$6:$G$59,"TARGET")</f>
        <v>1</v>
      </c>
      <c r="G42" s="31" t="n">
        <f aca="false">COUNTIFS('AI Confirmed Findings'!$C$6:$C$59,C42,'AI Confirmed Findings'!$G$6:$G$59,"EXTRA-VALID")</f>
        <v>0</v>
      </c>
      <c r="H42" s="31" t="n">
        <f aca="false">COUNTIFS('AI Confirmed Findings'!$C$6:$C$59,C42,'AI Confirmed Findings'!$G$6:$G$59,"DUPLICATE")</f>
        <v>0</v>
      </c>
      <c r="I42" s="31" t="n">
        <f aca="false">COUNTIFS('AI Confirmed Findings'!$C$6:$C$59,C42,'AI Confirmed Findings'!$G$6:$G$59,"FALSE")</f>
        <v>0</v>
      </c>
      <c r="J42" s="31" t="str">
        <f aca="false">IF(D42="Vulnerable",IF(F42&gt;0,"Y","N"),"n/a")</f>
        <v>Y</v>
      </c>
      <c r="K42" s="33" t="n">
        <v>70</v>
      </c>
      <c r="L42" s="33" t="s">
        <v>290</v>
      </c>
    </row>
    <row r="43" customFormat="false" ht="15" hidden="false" customHeight="false" outlineLevel="0" collapsed="false">
      <c r="A43" s="31" t="s">
        <v>194</v>
      </c>
      <c r="B43" s="31" t="n">
        <v>2</v>
      </c>
      <c r="C43" s="31" t="s">
        <v>422</v>
      </c>
      <c r="D43" s="31" t="s">
        <v>48</v>
      </c>
      <c r="E43" s="31" t="n">
        <f aca="false">COUNTIFS('AI Confirmed Findings'!$C$6:$C$59,C43,'AI Confirmed Findings'!$G$6:$G$59,"&lt;&gt;NONE")</f>
        <v>1</v>
      </c>
      <c r="F43" s="31" t="n">
        <f aca="false">COUNTIFS('AI Confirmed Findings'!$C$6:$C$59,C43,'AI Confirmed Findings'!$G$6:$G$59,"TARGET")</f>
        <v>1</v>
      </c>
      <c r="G43" s="31" t="n">
        <f aca="false">COUNTIFS('AI Confirmed Findings'!$C$6:$C$59,C43,'AI Confirmed Findings'!$G$6:$G$59,"EXTRA-VALID")</f>
        <v>0</v>
      </c>
      <c r="H43" s="31" t="n">
        <f aca="false">COUNTIFS('AI Confirmed Findings'!$C$6:$C$59,C43,'AI Confirmed Findings'!$G$6:$G$59,"DUPLICATE")</f>
        <v>0</v>
      </c>
      <c r="I43" s="31" t="n">
        <f aca="false">COUNTIFS('AI Confirmed Findings'!$C$6:$C$59,C43,'AI Confirmed Findings'!$G$6:$G$59,"FALSE")</f>
        <v>0</v>
      </c>
      <c r="J43" s="31" t="str">
        <f aca="false">IF(D43="Vulnerable",IF(F43&gt;0,"Y","N"),"n/a")</f>
        <v>Y</v>
      </c>
      <c r="K43" s="33" t="n">
        <v>70</v>
      </c>
      <c r="L43" s="33" t="s">
        <v>290</v>
      </c>
    </row>
    <row r="44" customFormat="false" ht="15" hidden="false" customHeight="false" outlineLevel="0" collapsed="false">
      <c r="A44" s="31" t="s">
        <v>194</v>
      </c>
      <c r="B44" s="31" t="n">
        <v>3</v>
      </c>
      <c r="C44" s="31" t="s">
        <v>423</v>
      </c>
      <c r="D44" s="31" t="s">
        <v>48</v>
      </c>
      <c r="E44" s="31" t="n">
        <f aca="false">COUNTIFS('AI Confirmed Findings'!$C$6:$C$59,C44,'AI Confirmed Findings'!$G$6:$G$59,"&lt;&gt;NONE")</f>
        <v>1</v>
      </c>
      <c r="F44" s="31" t="n">
        <f aca="false">COUNTIFS('AI Confirmed Findings'!$C$6:$C$59,C44,'AI Confirmed Findings'!$G$6:$G$59,"TARGET")</f>
        <v>1</v>
      </c>
      <c r="G44" s="31" t="n">
        <f aca="false">COUNTIFS('AI Confirmed Findings'!$C$6:$C$59,C44,'AI Confirmed Findings'!$G$6:$G$59,"EXTRA-VALID")</f>
        <v>0</v>
      </c>
      <c r="H44" s="31" t="n">
        <f aca="false">COUNTIFS('AI Confirmed Findings'!$C$6:$C$59,C44,'AI Confirmed Findings'!$G$6:$G$59,"DUPLICATE")</f>
        <v>0</v>
      </c>
      <c r="I44" s="31" t="n">
        <f aca="false">COUNTIFS('AI Confirmed Findings'!$C$6:$C$59,C44,'AI Confirmed Findings'!$G$6:$G$59,"FALSE")</f>
        <v>0</v>
      </c>
      <c r="J44" s="31" t="str">
        <f aca="false">IF(D44="Vulnerable",IF(F44&gt;0,"Y","N"),"n/a")</f>
        <v>Y</v>
      </c>
      <c r="K44" s="33" t="n">
        <v>70</v>
      </c>
      <c r="L44" s="33" t="s">
        <v>290</v>
      </c>
    </row>
    <row r="45" customFormat="false" ht="15" hidden="false" customHeight="false" outlineLevel="0" collapsed="false">
      <c r="A45" s="31" t="s">
        <v>197</v>
      </c>
      <c r="B45" s="31" t="n">
        <v>1</v>
      </c>
      <c r="C45" s="31" t="s">
        <v>424</v>
      </c>
      <c r="D45" s="31" t="s">
        <v>35</v>
      </c>
      <c r="E45" s="31" t="n">
        <f aca="false">COUNTIFS('AI Confirmed Findings'!$C$6:$C$59,C45,'AI Confirmed Findings'!$G$6:$G$59,"&lt;&gt;NONE")</f>
        <v>1</v>
      </c>
      <c r="F45" s="31" t="n">
        <f aca="false">COUNTIFS('AI Confirmed Findings'!$C$6:$C$59,C45,'AI Confirmed Findings'!$G$6:$G$59,"TARGET")</f>
        <v>0</v>
      </c>
      <c r="G45" s="31" t="n">
        <f aca="false">COUNTIFS('AI Confirmed Findings'!$C$6:$C$59,C45,'AI Confirmed Findings'!$G$6:$G$59,"EXTRA-VALID")</f>
        <v>0</v>
      </c>
      <c r="H45" s="31" t="n">
        <f aca="false">COUNTIFS('AI Confirmed Findings'!$C$6:$C$59,C45,'AI Confirmed Findings'!$G$6:$G$59,"DUPLICATE")</f>
        <v>0</v>
      </c>
      <c r="I45" s="31" t="n">
        <f aca="false">COUNTIFS('AI Confirmed Findings'!$C$6:$C$59,C45,'AI Confirmed Findings'!$G$6:$G$59,"FALSE")</f>
        <v>1</v>
      </c>
      <c r="J45" s="31" t="str">
        <f aca="false">IF(D45="Vulnerable",IF(F45&gt;0,"Y","N"),"n/a")</f>
        <v>n/a</v>
      </c>
      <c r="K45" s="33" t="n">
        <v>95</v>
      </c>
      <c r="L45" s="33" t="s">
        <v>283</v>
      </c>
    </row>
    <row r="46" customFormat="false" ht="15" hidden="false" customHeight="false" outlineLevel="0" collapsed="false">
      <c r="A46" s="31" t="s">
        <v>197</v>
      </c>
      <c r="B46" s="31" t="n">
        <v>2</v>
      </c>
      <c r="C46" s="31" t="s">
        <v>425</v>
      </c>
      <c r="D46" s="31" t="s">
        <v>35</v>
      </c>
      <c r="E46" s="31" t="n">
        <f aca="false">COUNTIFS('AI Confirmed Findings'!$C$6:$C$59,C46,'AI Confirmed Findings'!$G$6:$G$59,"&lt;&gt;NONE")</f>
        <v>0</v>
      </c>
      <c r="F46" s="31" t="n">
        <f aca="false">COUNTIFS('AI Confirmed Findings'!$C$6:$C$59,C46,'AI Confirmed Findings'!$G$6:$G$59,"TARGET")</f>
        <v>0</v>
      </c>
      <c r="G46" s="31" t="n">
        <f aca="false">COUNTIFS('AI Confirmed Findings'!$C$6:$C$59,C46,'AI Confirmed Findings'!$G$6:$G$59,"EXTRA-VALID")</f>
        <v>0</v>
      </c>
      <c r="H46" s="31" t="n">
        <f aca="false">COUNTIFS('AI Confirmed Findings'!$C$6:$C$59,C46,'AI Confirmed Findings'!$G$6:$G$59,"DUPLICATE")</f>
        <v>0</v>
      </c>
      <c r="I46" s="31" t="n">
        <f aca="false">COUNTIFS('AI Confirmed Findings'!$C$6:$C$59,C46,'AI Confirmed Findings'!$G$6:$G$59,"FALSE")</f>
        <v>0</v>
      </c>
      <c r="J46" s="31" t="str">
        <f aca="false">IF(D46="Vulnerable",IF(F46&gt;0,"Y","N"),"n/a")</f>
        <v>n/a</v>
      </c>
      <c r="K46" s="33" t="n">
        <v>100</v>
      </c>
      <c r="L46" s="33" t="s">
        <v>283</v>
      </c>
    </row>
    <row r="47" customFormat="false" ht="15" hidden="false" customHeight="false" outlineLevel="0" collapsed="false">
      <c r="A47" s="31" t="s">
        <v>197</v>
      </c>
      <c r="B47" s="31" t="n">
        <v>3</v>
      </c>
      <c r="C47" s="31" t="s">
        <v>426</v>
      </c>
      <c r="D47" s="31" t="s">
        <v>35</v>
      </c>
      <c r="E47" s="31" t="n">
        <f aca="false">COUNTIFS('AI Confirmed Findings'!$C$6:$C$59,C47,'AI Confirmed Findings'!$G$6:$G$59,"&lt;&gt;NONE")</f>
        <v>0</v>
      </c>
      <c r="F47" s="31" t="n">
        <f aca="false">COUNTIFS('AI Confirmed Findings'!$C$6:$C$59,C47,'AI Confirmed Findings'!$G$6:$G$59,"TARGET")</f>
        <v>0</v>
      </c>
      <c r="G47" s="31" t="n">
        <f aca="false">COUNTIFS('AI Confirmed Findings'!$C$6:$C$59,C47,'AI Confirmed Findings'!$G$6:$G$59,"EXTRA-VALID")</f>
        <v>0</v>
      </c>
      <c r="H47" s="31" t="n">
        <f aca="false">COUNTIFS('AI Confirmed Findings'!$C$6:$C$59,C47,'AI Confirmed Findings'!$G$6:$G$59,"DUPLICATE")</f>
        <v>0</v>
      </c>
      <c r="I47" s="31" t="n">
        <f aca="false">COUNTIFS('AI Confirmed Findings'!$C$6:$C$59,C47,'AI Confirmed Findings'!$G$6:$G$59,"FALSE")</f>
        <v>0</v>
      </c>
      <c r="J47" s="31" t="str">
        <f aca="false">IF(D47="Vulnerable",IF(F47&gt;0,"Y","N"),"n/a")</f>
        <v>n/a</v>
      </c>
      <c r="K47" s="33" t="n">
        <v>100</v>
      </c>
      <c r="L47" s="33" t="s">
        <v>283</v>
      </c>
    </row>
    <row r="48" customFormat="false" ht="15" hidden="false" customHeight="false" outlineLevel="0" collapsed="false">
      <c r="A48" s="31" t="s">
        <v>199</v>
      </c>
      <c r="B48" s="31" t="n">
        <v>1</v>
      </c>
      <c r="C48" s="31" t="s">
        <v>427</v>
      </c>
      <c r="D48" s="31" t="s">
        <v>48</v>
      </c>
      <c r="E48" s="31" t="n">
        <f aca="false">COUNTIFS('AI Confirmed Findings'!$C$6:$C$59,C48,'AI Confirmed Findings'!$G$6:$G$59,"&lt;&gt;NONE")</f>
        <v>1</v>
      </c>
      <c r="F48" s="31" t="n">
        <f aca="false">COUNTIFS('AI Confirmed Findings'!$C$6:$C$59,C48,'AI Confirmed Findings'!$G$6:$G$59,"TARGET")</f>
        <v>1</v>
      </c>
      <c r="G48" s="31" t="n">
        <f aca="false">COUNTIFS('AI Confirmed Findings'!$C$6:$C$59,C48,'AI Confirmed Findings'!$G$6:$G$59,"EXTRA-VALID")</f>
        <v>0</v>
      </c>
      <c r="H48" s="31" t="n">
        <f aca="false">COUNTIFS('AI Confirmed Findings'!$C$6:$C$59,C48,'AI Confirmed Findings'!$G$6:$G$59,"DUPLICATE")</f>
        <v>0</v>
      </c>
      <c r="I48" s="31" t="n">
        <f aca="false">COUNTIFS('AI Confirmed Findings'!$C$6:$C$59,C48,'AI Confirmed Findings'!$G$6:$G$59,"FALSE")</f>
        <v>0</v>
      </c>
      <c r="J48" s="31" t="str">
        <f aca="false">IF(D48="Vulnerable",IF(F48&gt;0,"Y","N"),"n/a")</f>
        <v>Y</v>
      </c>
      <c r="K48" s="33" t="n">
        <v>70</v>
      </c>
      <c r="L48" s="33" t="s">
        <v>290</v>
      </c>
    </row>
    <row r="49" customFormat="false" ht="15" hidden="false" customHeight="false" outlineLevel="0" collapsed="false">
      <c r="A49" s="31" t="s">
        <v>199</v>
      </c>
      <c r="B49" s="31" t="n">
        <v>2</v>
      </c>
      <c r="C49" s="31" t="s">
        <v>428</v>
      </c>
      <c r="D49" s="31" t="s">
        <v>48</v>
      </c>
      <c r="E49" s="31" t="n">
        <f aca="false">COUNTIFS('AI Confirmed Findings'!$C$6:$C$59,C49,'AI Confirmed Findings'!$G$6:$G$59,"&lt;&gt;NONE")</f>
        <v>1</v>
      </c>
      <c r="F49" s="31" t="n">
        <f aca="false">COUNTIFS('AI Confirmed Findings'!$C$6:$C$59,C49,'AI Confirmed Findings'!$G$6:$G$59,"TARGET")</f>
        <v>1</v>
      </c>
      <c r="G49" s="31" t="n">
        <f aca="false">COUNTIFS('AI Confirmed Findings'!$C$6:$C$59,C49,'AI Confirmed Findings'!$G$6:$G$59,"EXTRA-VALID")</f>
        <v>0</v>
      </c>
      <c r="H49" s="31" t="n">
        <f aca="false">COUNTIFS('AI Confirmed Findings'!$C$6:$C$59,C49,'AI Confirmed Findings'!$G$6:$G$59,"DUPLICATE")</f>
        <v>0</v>
      </c>
      <c r="I49" s="31" t="n">
        <f aca="false">COUNTIFS('AI Confirmed Findings'!$C$6:$C$59,C49,'AI Confirmed Findings'!$G$6:$G$59,"FALSE")</f>
        <v>0</v>
      </c>
      <c r="J49" s="31" t="str">
        <f aca="false">IF(D49="Vulnerable",IF(F49&gt;0,"Y","N"),"n/a")</f>
        <v>Y</v>
      </c>
      <c r="K49" s="33" t="n">
        <v>70</v>
      </c>
      <c r="L49" s="33" t="s">
        <v>290</v>
      </c>
    </row>
    <row r="50" customFormat="false" ht="15" hidden="false" customHeight="false" outlineLevel="0" collapsed="false">
      <c r="A50" s="31" t="s">
        <v>199</v>
      </c>
      <c r="B50" s="31" t="n">
        <v>3</v>
      </c>
      <c r="C50" s="31" t="s">
        <v>429</v>
      </c>
      <c r="D50" s="31" t="s">
        <v>48</v>
      </c>
      <c r="E50" s="31" t="n">
        <f aca="false">COUNTIFS('AI Confirmed Findings'!$C$6:$C$59,C50,'AI Confirmed Findings'!$G$6:$G$59,"&lt;&gt;NONE")</f>
        <v>1</v>
      </c>
      <c r="F50" s="31" t="n">
        <f aca="false">COUNTIFS('AI Confirmed Findings'!$C$6:$C$59,C50,'AI Confirmed Findings'!$G$6:$G$59,"TARGET")</f>
        <v>1</v>
      </c>
      <c r="G50" s="31" t="n">
        <f aca="false">COUNTIFS('AI Confirmed Findings'!$C$6:$C$59,C50,'AI Confirmed Findings'!$G$6:$G$59,"EXTRA-VALID")</f>
        <v>0</v>
      </c>
      <c r="H50" s="31" t="n">
        <f aca="false">COUNTIFS('AI Confirmed Findings'!$C$6:$C$59,C50,'AI Confirmed Findings'!$G$6:$G$59,"DUPLICATE")</f>
        <v>0</v>
      </c>
      <c r="I50" s="31" t="n">
        <f aca="false">COUNTIFS('AI Confirmed Findings'!$C$6:$C$59,C50,'AI Confirmed Findings'!$G$6:$G$59,"FALSE")</f>
        <v>0</v>
      </c>
      <c r="J50" s="31" t="str">
        <f aca="false">IF(D50="Vulnerable",IF(F50&gt;0,"Y","N"),"n/a")</f>
        <v>Y</v>
      </c>
      <c r="K50" s="33" t="n">
        <v>70</v>
      </c>
      <c r="L50" s="33" t="s">
        <v>290</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3" min="3" style="0" width="13"/>
    <col collapsed="false" customWidth="true" hidden="false" outlineLevel="0" max="4" min="4" style="0" width="8"/>
    <col collapsed="false" customWidth="true" hidden="false" outlineLevel="0" max="5" min="5" style="0" width="9"/>
    <col collapsed="false" customWidth="true" hidden="false" outlineLevel="0" max="6" min="6" style="0" width="70"/>
    <col collapsed="false" customWidth="true" hidden="false" outlineLevel="0" max="7" min="7" style="0" width="13"/>
    <col collapsed="false" customWidth="true" hidden="false" outlineLevel="0" max="8" min="8" style="0" width="70"/>
    <col collapsed="false" customWidth="true" hidden="false" outlineLevel="0" max="9" min="9" style="0" width="30"/>
  </cols>
  <sheetData>
    <row r="1" customFormat="false" ht="17.35" hidden="false" customHeight="false" outlineLevel="0" collapsed="false">
      <c r="A1" s="17" t="s">
        <v>430</v>
      </c>
    </row>
    <row r="2" customFormat="false" ht="45" hidden="false" customHeight="true" outlineLevel="0" collapsed="false">
      <c r="A2" s="18" t="s">
        <v>431</v>
      </c>
      <c r="B2" s="18"/>
      <c r="C2" s="18"/>
      <c r="D2" s="18"/>
      <c r="E2" s="18"/>
      <c r="F2" s="18"/>
      <c r="G2" s="18"/>
      <c r="H2" s="18"/>
      <c r="I2" s="18"/>
    </row>
    <row r="3" customFormat="false" ht="30" hidden="false" customHeight="true" outlineLevel="0" collapsed="false">
      <c r="A3" s="18" t="s">
        <v>432</v>
      </c>
      <c r="B3" s="18"/>
      <c r="C3" s="18"/>
      <c r="D3" s="18"/>
      <c r="E3" s="18"/>
      <c r="F3" s="18"/>
      <c r="G3" s="18"/>
      <c r="H3" s="18"/>
      <c r="I3" s="18"/>
    </row>
    <row r="5" customFormat="false" ht="26.85" hidden="false" customHeight="false" outlineLevel="0" collapsed="false">
      <c r="A5" s="19" t="s">
        <v>185</v>
      </c>
      <c r="B5" s="19" t="s">
        <v>378</v>
      </c>
      <c r="C5" s="19" t="s">
        <v>264</v>
      </c>
      <c r="D5" s="19" t="s">
        <v>433</v>
      </c>
      <c r="E5" s="19" t="s">
        <v>434</v>
      </c>
      <c r="F5" s="19" t="s">
        <v>435</v>
      </c>
      <c r="G5" s="19" t="s">
        <v>436</v>
      </c>
      <c r="H5" s="19" t="s">
        <v>437</v>
      </c>
      <c r="I5" s="19" t="s">
        <v>438</v>
      </c>
    </row>
    <row r="6" customFormat="false" ht="15" hidden="false" customHeight="false" outlineLevel="0" collapsed="false">
      <c r="A6" s="31" t="s">
        <v>32</v>
      </c>
      <c r="B6" s="31" t="n">
        <v>1</v>
      </c>
      <c r="C6" s="31" t="s">
        <v>384</v>
      </c>
      <c r="D6" s="31" t="s">
        <v>439</v>
      </c>
      <c r="E6" s="31" t="s">
        <v>439</v>
      </c>
      <c r="F6" s="8" t="s">
        <v>440</v>
      </c>
      <c r="G6" s="33" t="s">
        <v>441</v>
      </c>
      <c r="H6" s="8" t="s">
        <v>442</v>
      </c>
      <c r="I6" s="31" t="s">
        <v>443</v>
      </c>
    </row>
    <row r="7" customFormat="false" ht="15" hidden="false" customHeight="false" outlineLevel="0" collapsed="false">
      <c r="A7" s="31" t="s">
        <v>32</v>
      </c>
      <c r="B7" s="31" t="n">
        <v>2</v>
      </c>
      <c r="C7" s="31" t="s">
        <v>385</v>
      </c>
      <c r="D7" s="31" t="s">
        <v>439</v>
      </c>
      <c r="E7" s="31" t="s">
        <v>439</v>
      </c>
      <c r="F7" s="8" t="s">
        <v>440</v>
      </c>
      <c r="G7" s="33" t="s">
        <v>441</v>
      </c>
      <c r="H7" s="8" t="s">
        <v>442</v>
      </c>
      <c r="I7" s="31" t="s">
        <v>443</v>
      </c>
    </row>
    <row r="8" customFormat="false" ht="15" hidden="false" customHeight="false" outlineLevel="0" collapsed="false">
      <c r="A8" s="31" t="s">
        <v>32</v>
      </c>
      <c r="B8" s="31" t="n">
        <v>3</v>
      </c>
      <c r="C8" s="31" t="s">
        <v>386</v>
      </c>
      <c r="D8" s="31" t="s">
        <v>439</v>
      </c>
      <c r="E8" s="31" t="s">
        <v>439</v>
      </c>
      <c r="F8" s="8" t="s">
        <v>440</v>
      </c>
      <c r="G8" s="33" t="s">
        <v>441</v>
      </c>
      <c r="H8" s="8" t="s">
        <v>442</v>
      </c>
      <c r="I8" s="31" t="s">
        <v>443</v>
      </c>
    </row>
    <row r="9" customFormat="false" ht="15" hidden="false" customHeight="false" outlineLevel="0" collapsed="false">
      <c r="A9" s="31" t="s">
        <v>45</v>
      </c>
      <c r="B9" s="31" t="n">
        <v>1</v>
      </c>
      <c r="C9" s="31" t="s">
        <v>387</v>
      </c>
      <c r="D9" s="31" t="s">
        <v>444</v>
      </c>
      <c r="E9" s="31" t="s">
        <v>445</v>
      </c>
      <c r="F9" s="8" t="s">
        <v>446</v>
      </c>
      <c r="G9" s="33" t="s">
        <v>379</v>
      </c>
      <c r="H9" s="8" t="s">
        <v>447</v>
      </c>
      <c r="I9" s="31" t="s">
        <v>443</v>
      </c>
    </row>
    <row r="10" customFormat="false" ht="15" hidden="false" customHeight="false" outlineLevel="0" collapsed="false">
      <c r="A10" s="31" t="s">
        <v>45</v>
      </c>
      <c r="B10" s="31" t="n">
        <v>2</v>
      </c>
      <c r="C10" s="31" t="s">
        <v>388</v>
      </c>
      <c r="D10" s="31" t="s">
        <v>444</v>
      </c>
      <c r="E10" s="31" t="s">
        <v>445</v>
      </c>
      <c r="F10" s="8" t="s">
        <v>448</v>
      </c>
      <c r="G10" s="33" t="s">
        <v>379</v>
      </c>
      <c r="H10" s="8" t="s">
        <v>447</v>
      </c>
      <c r="I10" s="31" t="s">
        <v>443</v>
      </c>
    </row>
    <row r="11" customFormat="false" ht="15" hidden="false" customHeight="false" outlineLevel="0" collapsed="false">
      <c r="A11" s="31" t="s">
        <v>45</v>
      </c>
      <c r="B11" s="31" t="n">
        <v>3</v>
      </c>
      <c r="C11" s="31" t="s">
        <v>389</v>
      </c>
      <c r="D11" s="31" t="s">
        <v>444</v>
      </c>
      <c r="E11" s="31" t="s">
        <v>445</v>
      </c>
      <c r="F11" s="8" t="s">
        <v>449</v>
      </c>
      <c r="G11" s="33" t="s">
        <v>379</v>
      </c>
      <c r="H11" s="8" t="s">
        <v>447</v>
      </c>
      <c r="I11" s="31" t="s">
        <v>443</v>
      </c>
    </row>
    <row r="12" customFormat="false" ht="15" hidden="false" customHeight="false" outlineLevel="0" collapsed="false">
      <c r="A12" s="31" t="s">
        <v>58</v>
      </c>
      <c r="B12" s="31" t="n">
        <v>1</v>
      </c>
      <c r="C12" s="31" t="s">
        <v>390</v>
      </c>
      <c r="D12" s="31" t="s">
        <v>444</v>
      </c>
      <c r="E12" s="31" t="s">
        <v>445</v>
      </c>
      <c r="F12" s="8" t="s">
        <v>450</v>
      </c>
      <c r="G12" s="33" t="s">
        <v>379</v>
      </c>
      <c r="H12" s="8" t="s">
        <v>447</v>
      </c>
      <c r="I12" s="31" t="s">
        <v>443</v>
      </c>
    </row>
    <row r="13" customFormat="false" ht="15" hidden="false" customHeight="false" outlineLevel="0" collapsed="false">
      <c r="A13" s="31" t="s">
        <v>58</v>
      </c>
      <c r="B13" s="31" t="n">
        <v>2</v>
      </c>
      <c r="C13" s="31" t="s">
        <v>391</v>
      </c>
      <c r="D13" s="31" t="s">
        <v>444</v>
      </c>
      <c r="E13" s="31" t="s">
        <v>445</v>
      </c>
      <c r="F13" s="8" t="s">
        <v>451</v>
      </c>
      <c r="G13" s="33" t="s">
        <v>379</v>
      </c>
      <c r="H13" s="8" t="s">
        <v>447</v>
      </c>
      <c r="I13" s="31" t="s">
        <v>443</v>
      </c>
    </row>
    <row r="14" customFormat="false" ht="15" hidden="false" customHeight="false" outlineLevel="0" collapsed="false">
      <c r="A14" s="31" t="s">
        <v>58</v>
      </c>
      <c r="B14" s="31" t="n">
        <v>3</v>
      </c>
      <c r="C14" s="31" t="s">
        <v>392</v>
      </c>
      <c r="D14" s="31" t="s">
        <v>444</v>
      </c>
      <c r="E14" s="31" t="s">
        <v>445</v>
      </c>
      <c r="F14" s="8" t="s">
        <v>452</v>
      </c>
      <c r="G14" s="33" t="s">
        <v>379</v>
      </c>
      <c r="H14" s="8" t="s">
        <v>447</v>
      </c>
      <c r="I14" s="31" t="s">
        <v>443</v>
      </c>
    </row>
    <row r="15" customFormat="false" ht="26.85" hidden="false" customHeight="false" outlineLevel="0" collapsed="false">
      <c r="A15" s="31" t="s">
        <v>58</v>
      </c>
      <c r="B15" s="31" t="n">
        <v>3</v>
      </c>
      <c r="C15" s="31" t="s">
        <v>392</v>
      </c>
      <c r="D15" s="31" t="s">
        <v>453</v>
      </c>
      <c r="E15" s="31" t="s">
        <v>445</v>
      </c>
      <c r="F15" s="8" t="s">
        <v>454</v>
      </c>
      <c r="G15" s="33" t="s">
        <v>381</v>
      </c>
      <c r="H15" s="8" t="s">
        <v>455</v>
      </c>
      <c r="I15" s="31" t="s">
        <v>443</v>
      </c>
    </row>
    <row r="16" customFormat="false" ht="26.85" hidden="false" customHeight="false" outlineLevel="0" collapsed="false">
      <c r="A16" s="31" t="s">
        <v>68</v>
      </c>
      <c r="B16" s="31" t="n">
        <v>1</v>
      </c>
      <c r="C16" s="31" t="s">
        <v>393</v>
      </c>
      <c r="D16" s="31" t="s">
        <v>444</v>
      </c>
      <c r="E16" s="31" t="s">
        <v>445</v>
      </c>
      <c r="F16" s="8" t="s">
        <v>456</v>
      </c>
      <c r="G16" s="33" t="s">
        <v>379</v>
      </c>
      <c r="H16" s="8" t="s">
        <v>447</v>
      </c>
      <c r="I16" s="31" t="s">
        <v>443</v>
      </c>
    </row>
    <row r="17" customFormat="false" ht="15" hidden="false" customHeight="false" outlineLevel="0" collapsed="false">
      <c r="A17" s="31" t="s">
        <v>68</v>
      </c>
      <c r="B17" s="31" t="n">
        <v>2</v>
      </c>
      <c r="C17" s="31" t="s">
        <v>394</v>
      </c>
      <c r="D17" s="31" t="s">
        <v>444</v>
      </c>
      <c r="E17" s="31" t="s">
        <v>445</v>
      </c>
      <c r="F17" s="8" t="s">
        <v>457</v>
      </c>
      <c r="G17" s="33" t="s">
        <v>379</v>
      </c>
      <c r="H17" s="8" t="s">
        <v>447</v>
      </c>
      <c r="I17" s="31" t="s">
        <v>443</v>
      </c>
    </row>
    <row r="18" customFormat="false" ht="26.85" hidden="false" customHeight="false" outlineLevel="0" collapsed="false">
      <c r="A18" s="31" t="s">
        <v>68</v>
      </c>
      <c r="B18" s="31" t="n">
        <v>3</v>
      </c>
      <c r="C18" s="31" t="s">
        <v>395</v>
      </c>
      <c r="D18" s="31" t="s">
        <v>444</v>
      </c>
      <c r="E18" s="31" t="s">
        <v>445</v>
      </c>
      <c r="F18" s="8" t="s">
        <v>458</v>
      </c>
      <c r="G18" s="33" t="s">
        <v>379</v>
      </c>
      <c r="H18" s="8" t="s">
        <v>447</v>
      </c>
      <c r="I18" s="31" t="s">
        <v>443</v>
      </c>
    </row>
    <row r="19" customFormat="false" ht="15" hidden="false" customHeight="false" outlineLevel="0" collapsed="false">
      <c r="A19" s="31" t="s">
        <v>78</v>
      </c>
      <c r="B19" s="31" t="n">
        <v>1</v>
      </c>
      <c r="C19" s="31" t="s">
        <v>396</v>
      </c>
      <c r="D19" s="31" t="s">
        <v>444</v>
      </c>
      <c r="E19" s="31" t="s">
        <v>445</v>
      </c>
      <c r="F19" s="8" t="s">
        <v>459</v>
      </c>
      <c r="G19" s="33" t="s">
        <v>379</v>
      </c>
      <c r="H19" s="8" t="s">
        <v>447</v>
      </c>
      <c r="I19" s="31" t="s">
        <v>443</v>
      </c>
    </row>
    <row r="20" customFormat="false" ht="15" hidden="false" customHeight="false" outlineLevel="0" collapsed="false">
      <c r="A20" s="31" t="s">
        <v>78</v>
      </c>
      <c r="B20" s="31" t="n">
        <v>2</v>
      </c>
      <c r="C20" s="31" t="s">
        <v>397</v>
      </c>
      <c r="D20" s="31" t="s">
        <v>444</v>
      </c>
      <c r="E20" s="31" t="s">
        <v>445</v>
      </c>
      <c r="F20" s="8" t="s">
        <v>460</v>
      </c>
      <c r="G20" s="33" t="s">
        <v>379</v>
      </c>
      <c r="H20" s="8" t="s">
        <v>447</v>
      </c>
      <c r="I20" s="31" t="s">
        <v>443</v>
      </c>
    </row>
    <row r="21" customFormat="false" ht="15" hidden="false" customHeight="false" outlineLevel="0" collapsed="false">
      <c r="A21" s="31" t="s">
        <v>78</v>
      </c>
      <c r="B21" s="31" t="n">
        <v>3</v>
      </c>
      <c r="C21" s="31" t="s">
        <v>398</v>
      </c>
      <c r="D21" s="31" t="s">
        <v>444</v>
      </c>
      <c r="E21" s="31" t="s">
        <v>461</v>
      </c>
      <c r="F21" s="8" t="s">
        <v>459</v>
      </c>
      <c r="G21" s="33" t="s">
        <v>379</v>
      </c>
      <c r="H21" s="8" t="s">
        <v>447</v>
      </c>
      <c r="I21" s="31" t="s">
        <v>443</v>
      </c>
    </row>
    <row r="22" customFormat="false" ht="15" hidden="false" customHeight="false" outlineLevel="0" collapsed="false">
      <c r="A22" s="31" t="s">
        <v>87</v>
      </c>
      <c r="B22" s="31" t="n">
        <v>1</v>
      </c>
      <c r="C22" s="31" t="s">
        <v>399</v>
      </c>
      <c r="D22" s="31" t="s">
        <v>444</v>
      </c>
      <c r="E22" s="31" t="s">
        <v>461</v>
      </c>
      <c r="F22" s="8" t="s">
        <v>462</v>
      </c>
      <c r="G22" s="33" t="s">
        <v>379</v>
      </c>
      <c r="H22" s="8" t="s">
        <v>447</v>
      </c>
      <c r="I22" s="31" t="s">
        <v>443</v>
      </c>
    </row>
    <row r="23" customFormat="false" ht="15" hidden="false" customHeight="false" outlineLevel="0" collapsed="false">
      <c r="A23" s="31" t="s">
        <v>87</v>
      </c>
      <c r="B23" s="31" t="n">
        <v>2</v>
      </c>
      <c r="C23" s="31" t="s">
        <v>400</v>
      </c>
      <c r="D23" s="31" t="s">
        <v>444</v>
      </c>
      <c r="E23" s="31" t="s">
        <v>461</v>
      </c>
      <c r="F23" s="8" t="s">
        <v>463</v>
      </c>
      <c r="G23" s="33" t="s">
        <v>379</v>
      </c>
      <c r="H23" s="8" t="s">
        <v>447</v>
      </c>
      <c r="I23" s="31" t="s">
        <v>443</v>
      </c>
    </row>
    <row r="24" customFormat="false" ht="15" hidden="false" customHeight="false" outlineLevel="0" collapsed="false">
      <c r="A24" s="31" t="s">
        <v>87</v>
      </c>
      <c r="B24" s="31" t="n">
        <v>3</v>
      </c>
      <c r="C24" s="31" t="s">
        <v>401</v>
      </c>
      <c r="D24" s="31" t="s">
        <v>444</v>
      </c>
      <c r="E24" s="31" t="s">
        <v>461</v>
      </c>
      <c r="F24" s="8" t="s">
        <v>464</v>
      </c>
      <c r="G24" s="33" t="s">
        <v>379</v>
      </c>
      <c r="H24" s="8" t="s">
        <v>447</v>
      </c>
      <c r="I24" s="31" t="s">
        <v>443</v>
      </c>
    </row>
    <row r="25" customFormat="false" ht="15" hidden="false" customHeight="false" outlineLevel="0" collapsed="false">
      <c r="A25" s="31" t="s">
        <v>96</v>
      </c>
      <c r="B25" s="31" t="n">
        <v>1</v>
      </c>
      <c r="C25" s="31" t="s">
        <v>402</v>
      </c>
      <c r="D25" s="31" t="s">
        <v>444</v>
      </c>
      <c r="E25" s="31" t="s">
        <v>445</v>
      </c>
      <c r="F25" s="8" t="s">
        <v>465</v>
      </c>
      <c r="G25" s="33" t="s">
        <v>379</v>
      </c>
      <c r="H25" s="8" t="s">
        <v>447</v>
      </c>
      <c r="I25" s="31" t="s">
        <v>443</v>
      </c>
    </row>
    <row r="26" customFormat="false" ht="26.85" hidden="false" customHeight="false" outlineLevel="0" collapsed="false">
      <c r="A26" s="31" t="s">
        <v>96</v>
      </c>
      <c r="B26" s="31" t="n">
        <v>1</v>
      </c>
      <c r="C26" s="31" t="s">
        <v>402</v>
      </c>
      <c r="D26" s="31" t="s">
        <v>453</v>
      </c>
      <c r="E26" s="31" t="s">
        <v>466</v>
      </c>
      <c r="F26" s="8" t="s">
        <v>467</v>
      </c>
      <c r="G26" s="33" t="s">
        <v>380</v>
      </c>
      <c r="H26" s="8" t="s">
        <v>468</v>
      </c>
      <c r="I26" s="31" t="s">
        <v>443</v>
      </c>
    </row>
    <row r="27" customFormat="false" ht="15" hidden="false" customHeight="false" outlineLevel="0" collapsed="false">
      <c r="A27" s="31" t="s">
        <v>96</v>
      </c>
      <c r="B27" s="31" t="n">
        <v>2</v>
      </c>
      <c r="C27" s="31" t="s">
        <v>403</v>
      </c>
      <c r="D27" s="31" t="s">
        <v>444</v>
      </c>
      <c r="E27" s="31" t="s">
        <v>445</v>
      </c>
      <c r="F27" s="8" t="s">
        <v>469</v>
      </c>
      <c r="G27" s="33" t="s">
        <v>379</v>
      </c>
      <c r="H27" s="8" t="s">
        <v>447</v>
      </c>
      <c r="I27" s="31" t="s">
        <v>443</v>
      </c>
    </row>
    <row r="28" customFormat="false" ht="15" hidden="false" customHeight="false" outlineLevel="0" collapsed="false">
      <c r="A28" s="31" t="s">
        <v>96</v>
      </c>
      <c r="B28" s="31" t="n">
        <v>2</v>
      </c>
      <c r="C28" s="31" t="s">
        <v>403</v>
      </c>
      <c r="D28" s="31" t="s">
        <v>453</v>
      </c>
      <c r="E28" s="31" t="s">
        <v>466</v>
      </c>
      <c r="F28" s="8" t="s">
        <v>470</v>
      </c>
      <c r="G28" s="33" t="s">
        <v>380</v>
      </c>
      <c r="H28" s="8" t="s">
        <v>471</v>
      </c>
      <c r="I28" s="31" t="s">
        <v>443</v>
      </c>
    </row>
    <row r="29" customFormat="false" ht="15" hidden="false" customHeight="false" outlineLevel="0" collapsed="false">
      <c r="A29" s="31" t="s">
        <v>96</v>
      </c>
      <c r="B29" s="31" t="n">
        <v>3</v>
      </c>
      <c r="C29" s="31" t="s">
        <v>404</v>
      </c>
      <c r="D29" s="31" t="s">
        <v>444</v>
      </c>
      <c r="E29" s="31" t="s">
        <v>445</v>
      </c>
      <c r="F29" s="8" t="s">
        <v>472</v>
      </c>
      <c r="G29" s="33" t="s">
        <v>379</v>
      </c>
      <c r="H29" s="8" t="s">
        <v>447</v>
      </c>
      <c r="I29" s="31" t="s">
        <v>443</v>
      </c>
    </row>
    <row r="30" customFormat="false" ht="15" hidden="false" customHeight="false" outlineLevel="0" collapsed="false">
      <c r="A30" s="31" t="s">
        <v>96</v>
      </c>
      <c r="B30" s="31" t="n">
        <v>3</v>
      </c>
      <c r="C30" s="31" t="s">
        <v>404</v>
      </c>
      <c r="D30" s="31" t="s">
        <v>453</v>
      </c>
      <c r="E30" s="31" t="s">
        <v>466</v>
      </c>
      <c r="F30" s="8" t="s">
        <v>470</v>
      </c>
      <c r="G30" s="33" t="s">
        <v>380</v>
      </c>
      <c r="H30" s="8" t="s">
        <v>471</v>
      </c>
      <c r="I30" s="31" t="s">
        <v>443</v>
      </c>
    </row>
    <row r="31" customFormat="false" ht="15" hidden="false" customHeight="false" outlineLevel="0" collapsed="false">
      <c r="A31" s="31" t="s">
        <v>106</v>
      </c>
      <c r="B31" s="31" t="n">
        <v>1</v>
      </c>
      <c r="C31" s="31" t="s">
        <v>405</v>
      </c>
      <c r="D31" s="31" t="s">
        <v>439</v>
      </c>
      <c r="E31" s="31" t="s">
        <v>439</v>
      </c>
      <c r="F31" s="8" t="s">
        <v>473</v>
      </c>
      <c r="G31" s="33" t="s">
        <v>441</v>
      </c>
      <c r="H31" s="8" t="s">
        <v>474</v>
      </c>
      <c r="I31" s="31" t="s">
        <v>475</v>
      </c>
    </row>
    <row r="32" customFormat="false" ht="15" hidden="false" customHeight="false" outlineLevel="0" collapsed="false">
      <c r="A32" s="31" t="s">
        <v>106</v>
      </c>
      <c r="B32" s="31" t="n">
        <v>2</v>
      </c>
      <c r="C32" s="31" t="s">
        <v>406</v>
      </c>
      <c r="D32" s="31" t="s">
        <v>439</v>
      </c>
      <c r="E32" s="31" t="s">
        <v>439</v>
      </c>
      <c r="F32" s="8" t="s">
        <v>440</v>
      </c>
      <c r="G32" s="33" t="s">
        <v>441</v>
      </c>
      <c r="H32" s="8" t="s">
        <v>442</v>
      </c>
      <c r="I32" s="31" t="s">
        <v>443</v>
      </c>
    </row>
    <row r="33" customFormat="false" ht="15" hidden="false" customHeight="false" outlineLevel="0" collapsed="false">
      <c r="A33" s="31" t="s">
        <v>106</v>
      </c>
      <c r="B33" s="31" t="n">
        <v>3</v>
      </c>
      <c r="C33" s="31" t="s">
        <v>407</v>
      </c>
      <c r="D33" s="31" t="s">
        <v>439</v>
      </c>
      <c r="E33" s="31" t="s">
        <v>439</v>
      </c>
      <c r="F33" s="8" t="s">
        <v>440</v>
      </c>
      <c r="G33" s="33" t="s">
        <v>441</v>
      </c>
      <c r="H33" s="8" t="s">
        <v>442</v>
      </c>
      <c r="I33" s="31" t="s">
        <v>443</v>
      </c>
    </row>
    <row r="34" customFormat="false" ht="15" hidden="false" customHeight="false" outlineLevel="0" collapsed="false">
      <c r="A34" s="31" t="s">
        <v>106</v>
      </c>
      <c r="B34" s="31" t="n">
        <v>4</v>
      </c>
      <c r="C34" s="31" t="s">
        <v>408</v>
      </c>
      <c r="D34" s="31" t="s">
        <v>444</v>
      </c>
      <c r="E34" s="31" t="s">
        <v>461</v>
      </c>
      <c r="F34" s="8" t="s">
        <v>476</v>
      </c>
      <c r="G34" s="33" t="s">
        <v>379</v>
      </c>
      <c r="H34" s="8" t="s">
        <v>447</v>
      </c>
      <c r="I34" s="31" t="s">
        <v>443</v>
      </c>
    </row>
    <row r="35" customFormat="false" ht="26.85" hidden="false" customHeight="false" outlineLevel="0" collapsed="false">
      <c r="A35" s="31" t="s">
        <v>115</v>
      </c>
      <c r="B35" s="31" t="n">
        <v>1</v>
      </c>
      <c r="C35" s="31" t="s">
        <v>409</v>
      </c>
      <c r="D35" s="31" t="s">
        <v>444</v>
      </c>
      <c r="E35" s="31" t="s">
        <v>461</v>
      </c>
      <c r="F35" s="8" t="s">
        <v>477</v>
      </c>
      <c r="G35" s="33" t="s">
        <v>379</v>
      </c>
      <c r="H35" s="8" t="s">
        <v>447</v>
      </c>
      <c r="I35" s="31" t="s">
        <v>443</v>
      </c>
    </row>
    <row r="36" customFormat="false" ht="26.85" hidden="false" customHeight="false" outlineLevel="0" collapsed="false">
      <c r="A36" s="31" t="s">
        <v>115</v>
      </c>
      <c r="B36" s="31" t="n">
        <v>2</v>
      </c>
      <c r="C36" s="31" t="s">
        <v>410</v>
      </c>
      <c r="D36" s="31" t="s">
        <v>444</v>
      </c>
      <c r="E36" s="31" t="s">
        <v>461</v>
      </c>
      <c r="F36" s="8" t="s">
        <v>478</v>
      </c>
      <c r="G36" s="33" t="s">
        <v>379</v>
      </c>
      <c r="H36" s="8" t="s">
        <v>447</v>
      </c>
      <c r="I36" s="31" t="s">
        <v>443</v>
      </c>
    </row>
    <row r="37" customFormat="false" ht="15" hidden="false" customHeight="false" outlineLevel="0" collapsed="false">
      <c r="A37" s="31" t="s">
        <v>115</v>
      </c>
      <c r="B37" s="31" t="n">
        <v>3</v>
      </c>
      <c r="C37" s="31" t="s">
        <v>411</v>
      </c>
      <c r="D37" s="31" t="s">
        <v>444</v>
      </c>
      <c r="E37" s="31" t="s">
        <v>461</v>
      </c>
      <c r="F37" s="8" t="s">
        <v>479</v>
      </c>
      <c r="G37" s="33" t="s">
        <v>379</v>
      </c>
      <c r="H37" s="8" t="s">
        <v>447</v>
      </c>
      <c r="I37" s="31" t="s">
        <v>443</v>
      </c>
    </row>
    <row r="38" customFormat="false" ht="26.85" hidden="false" customHeight="false" outlineLevel="0" collapsed="false">
      <c r="A38" s="31" t="s">
        <v>123</v>
      </c>
      <c r="B38" s="31" t="n">
        <v>1</v>
      </c>
      <c r="C38" s="31" t="s">
        <v>412</v>
      </c>
      <c r="D38" s="31" t="s">
        <v>444</v>
      </c>
      <c r="E38" s="31" t="s">
        <v>445</v>
      </c>
      <c r="F38" s="8" t="s">
        <v>480</v>
      </c>
      <c r="G38" s="33" t="s">
        <v>379</v>
      </c>
      <c r="H38" s="8" t="s">
        <v>447</v>
      </c>
      <c r="I38" s="31" t="s">
        <v>443</v>
      </c>
    </row>
    <row r="39" customFormat="false" ht="26.85" hidden="false" customHeight="false" outlineLevel="0" collapsed="false">
      <c r="A39" s="31" t="s">
        <v>123</v>
      </c>
      <c r="B39" s="31" t="n">
        <v>1</v>
      </c>
      <c r="C39" s="31" t="s">
        <v>412</v>
      </c>
      <c r="D39" s="31" t="s">
        <v>453</v>
      </c>
      <c r="E39" s="31" t="s">
        <v>466</v>
      </c>
      <c r="F39" s="8" t="s">
        <v>481</v>
      </c>
      <c r="G39" s="33" t="s">
        <v>279</v>
      </c>
      <c r="H39" s="8" t="s">
        <v>482</v>
      </c>
      <c r="I39" s="31" t="s">
        <v>443</v>
      </c>
    </row>
    <row r="40" customFormat="false" ht="15" hidden="false" customHeight="false" outlineLevel="0" collapsed="false">
      <c r="A40" s="31" t="s">
        <v>123</v>
      </c>
      <c r="B40" s="31" t="n">
        <v>2</v>
      </c>
      <c r="C40" s="31" t="s">
        <v>413</v>
      </c>
      <c r="D40" s="31" t="s">
        <v>444</v>
      </c>
      <c r="E40" s="31" t="s">
        <v>445</v>
      </c>
      <c r="F40" s="8" t="s">
        <v>483</v>
      </c>
      <c r="G40" s="33" t="s">
        <v>379</v>
      </c>
      <c r="H40" s="8" t="s">
        <v>447</v>
      </c>
      <c r="I40" s="31" t="s">
        <v>443</v>
      </c>
    </row>
    <row r="41" customFormat="false" ht="26.85" hidden="false" customHeight="false" outlineLevel="0" collapsed="false">
      <c r="A41" s="31" t="s">
        <v>123</v>
      </c>
      <c r="B41" s="31" t="n">
        <v>3</v>
      </c>
      <c r="C41" s="31" t="s">
        <v>414</v>
      </c>
      <c r="D41" s="31" t="s">
        <v>444</v>
      </c>
      <c r="E41" s="31" t="s">
        <v>445</v>
      </c>
      <c r="F41" s="8" t="s">
        <v>484</v>
      </c>
      <c r="G41" s="33" t="s">
        <v>379</v>
      </c>
      <c r="H41" s="8" t="s">
        <v>447</v>
      </c>
      <c r="I41" s="31" t="s">
        <v>443</v>
      </c>
    </row>
    <row r="42" customFormat="false" ht="15" hidden="false" customHeight="false" outlineLevel="0" collapsed="false">
      <c r="A42" s="31" t="s">
        <v>123</v>
      </c>
      <c r="B42" s="31" t="n">
        <v>3</v>
      </c>
      <c r="C42" s="31" t="s">
        <v>414</v>
      </c>
      <c r="D42" s="31" t="s">
        <v>453</v>
      </c>
      <c r="E42" s="31" t="s">
        <v>466</v>
      </c>
      <c r="F42" s="8" t="s">
        <v>485</v>
      </c>
      <c r="G42" s="33" t="s">
        <v>279</v>
      </c>
      <c r="H42" s="8" t="s">
        <v>471</v>
      </c>
      <c r="I42" s="31" t="s">
        <v>443</v>
      </c>
    </row>
    <row r="43" customFormat="false" ht="26.85" hidden="false" customHeight="false" outlineLevel="0" collapsed="false">
      <c r="A43" s="31" t="s">
        <v>132</v>
      </c>
      <c r="B43" s="31" t="n">
        <v>1</v>
      </c>
      <c r="C43" s="31" t="s">
        <v>415</v>
      </c>
      <c r="D43" s="31" t="s">
        <v>444</v>
      </c>
      <c r="E43" s="31" t="s">
        <v>445</v>
      </c>
      <c r="F43" s="8" t="s">
        <v>486</v>
      </c>
      <c r="G43" s="33" t="s">
        <v>379</v>
      </c>
      <c r="H43" s="8" t="s">
        <v>447</v>
      </c>
      <c r="I43" s="31" t="s">
        <v>443</v>
      </c>
    </row>
    <row r="44" customFormat="false" ht="26.85" hidden="false" customHeight="false" outlineLevel="0" collapsed="false">
      <c r="A44" s="31" t="s">
        <v>132</v>
      </c>
      <c r="B44" s="31" t="n">
        <v>2</v>
      </c>
      <c r="C44" s="31" t="s">
        <v>416</v>
      </c>
      <c r="D44" s="31" t="s">
        <v>444</v>
      </c>
      <c r="E44" s="31" t="s">
        <v>445</v>
      </c>
      <c r="F44" s="8" t="s">
        <v>487</v>
      </c>
      <c r="G44" s="33" t="s">
        <v>379</v>
      </c>
      <c r="H44" s="8" t="s">
        <v>447</v>
      </c>
      <c r="I44" s="31" t="s">
        <v>443</v>
      </c>
    </row>
    <row r="45" customFormat="false" ht="26.85" hidden="false" customHeight="false" outlineLevel="0" collapsed="false">
      <c r="A45" s="31" t="s">
        <v>132</v>
      </c>
      <c r="B45" s="31" t="n">
        <v>3</v>
      </c>
      <c r="C45" s="31" t="s">
        <v>417</v>
      </c>
      <c r="D45" s="31" t="s">
        <v>444</v>
      </c>
      <c r="E45" s="31" t="s">
        <v>445</v>
      </c>
      <c r="F45" s="8" t="s">
        <v>488</v>
      </c>
      <c r="G45" s="33" t="s">
        <v>379</v>
      </c>
      <c r="H45" s="8" t="s">
        <v>447</v>
      </c>
      <c r="I45" s="31" t="s">
        <v>443</v>
      </c>
    </row>
    <row r="46" customFormat="false" ht="26.85" hidden="false" customHeight="false" outlineLevel="0" collapsed="false">
      <c r="A46" s="31" t="s">
        <v>139</v>
      </c>
      <c r="B46" s="31" t="n">
        <v>1</v>
      </c>
      <c r="C46" s="31" t="s">
        <v>418</v>
      </c>
      <c r="D46" s="31" t="s">
        <v>444</v>
      </c>
      <c r="E46" s="31" t="s">
        <v>445</v>
      </c>
      <c r="F46" s="8" t="s">
        <v>489</v>
      </c>
      <c r="G46" s="33" t="s">
        <v>279</v>
      </c>
      <c r="H46" s="8" t="s">
        <v>490</v>
      </c>
      <c r="I46" s="31" t="s">
        <v>443</v>
      </c>
    </row>
    <row r="47" customFormat="false" ht="15" hidden="false" customHeight="false" outlineLevel="0" collapsed="false">
      <c r="A47" s="31" t="s">
        <v>139</v>
      </c>
      <c r="B47" s="31" t="n">
        <v>1</v>
      </c>
      <c r="C47" s="31" t="s">
        <v>418</v>
      </c>
      <c r="D47" s="31" t="s">
        <v>453</v>
      </c>
      <c r="E47" s="31" t="s">
        <v>461</v>
      </c>
      <c r="F47" s="8" t="s">
        <v>491</v>
      </c>
      <c r="G47" s="33" t="s">
        <v>279</v>
      </c>
      <c r="H47" s="8" t="s">
        <v>492</v>
      </c>
      <c r="I47" s="31" t="s">
        <v>443</v>
      </c>
    </row>
    <row r="48" customFormat="false" ht="26.85" hidden="false" customHeight="false" outlineLevel="0" collapsed="false">
      <c r="A48" s="31" t="s">
        <v>139</v>
      </c>
      <c r="B48" s="31" t="n">
        <v>1</v>
      </c>
      <c r="C48" s="31" t="s">
        <v>418</v>
      </c>
      <c r="D48" s="31" t="s">
        <v>493</v>
      </c>
      <c r="E48" s="31" t="s">
        <v>466</v>
      </c>
      <c r="F48" s="8" t="s">
        <v>494</v>
      </c>
      <c r="G48" s="33" t="s">
        <v>279</v>
      </c>
      <c r="H48" s="8" t="s">
        <v>495</v>
      </c>
      <c r="I48" s="31" t="s">
        <v>443</v>
      </c>
    </row>
    <row r="49" customFormat="false" ht="15" hidden="false" customHeight="false" outlineLevel="0" collapsed="false">
      <c r="A49" s="31" t="s">
        <v>139</v>
      </c>
      <c r="B49" s="31" t="n">
        <v>2</v>
      </c>
      <c r="C49" s="31" t="s">
        <v>419</v>
      </c>
      <c r="D49" s="31" t="s">
        <v>444</v>
      </c>
      <c r="E49" s="31" t="s">
        <v>466</v>
      </c>
      <c r="F49" s="8" t="s">
        <v>496</v>
      </c>
      <c r="G49" s="33" t="s">
        <v>279</v>
      </c>
      <c r="H49" s="8" t="s">
        <v>497</v>
      </c>
      <c r="I49" s="31" t="s">
        <v>443</v>
      </c>
    </row>
    <row r="50" customFormat="false" ht="15" hidden="false" customHeight="false" outlineLevel="0" collapsed="false">
      <c r="A50" s="31" t="s">
        <v>139</v>
      </c>
      <c r="B50" s="31" t="n">
        <v>3</v>
      </c>
      <c r="C50" s="31" t="s">
        <v>420</v>
      </c>
      <c r="D50" s="31" t="s">
        <v>439</v>
      </c>
      <c r="E50" s="31" t="s">
        <v>439</v>
      </c>
      <c r="F50" s="8" t="s">
        <v>440</v>
      </c>
      <c r="G50" s="33" t="s">
        <v>441</v>
      </c>
      <c r="H50" s="8" t="s">
        <v>442</v>
      </c>
      <c r="I50" s="31" t="s">
        <v>443</v>
      </c>
    </row>
    <row r="51" customFormat="false" ht="26.85" hidden="false" customHeight="false" outlineLevel="0" collapsed="false">
      <c r="A51" s="31" t="s">
        <v>194</v>
      </c>
      <c r="B51" s="31" t="n">
        <v>1</v>
      </c>
      <c r="C51" s="31" t="s">
        <v>421</v>
      </c>
      <c r="D51" s="31" t="s">
        <v>444</v>
      </c>
      <c r="E51" s="31" t="s">
        <v>445</v>
      </c>
      <c r="F51" s="8" t="s">
        <v>498</v>
      </c>
      <c r="G51" s="33" t="s">
        <v>379</v>
      </c>
      <c r="H51" s="8" t="s">
        <v>447</v>
      </c>
      <c r="I51" s="31" t="s">
        <v>499</v>
      </c>
    </row>
    <row r="52" customFormat="false" ht="26.85" hidden="false" customHeight="false" outlineLevel="0" collapsed="false">
      <c r="A52" s="31" t="s">
        <v>194</v>
      </c>
      <c r="B52" s="31" t="n">
        <v>2</v>
      </c>
      <c r="C52" s="31" t="s">
        <v>422</v>
      </c>
      <c r="D52" s="31" t="s">
        <v>444</v>
      </c>
      <c r="E52" s="31" t="s">
        <v>445</v>
      </c>
      <c r="F52" s="8" t="s">
        <v>500</v>
      </c>
      <c r="G52" s="33" t="s">
        <v>379</v>
      </c>
      <c r="H52" s="8" t="s">
        <v>447</v>
      </c>
      <c r="I52" s="31" t="s">
        <v>501</v>
      </c>
    </row>
    <row r="53" customFormat="false" ht="26.85" hidden="false" customHeight="false" outlineLevel="0" collapsed="false">
      <c r="A53" s="31" t="s">
        <v>194</v>
      </c>
      <c r="B53" s="31" t="n">
        <v>3</v>
      </c>
      <c r="C53" s="31" t="s">
        <v>423</v>
      </c>
      <c r="D53" s="31" t="s">
        <v>444</v>
      </c>
      <c r="E53" s="31" t="s">
        <v>445</v>
      </c>
      <c r="F53" s="8" t="s">
        <v>502</v>
      </c>
      <c r="G53" s="33" t="s">
        <v>379</v>
      </c>
      <c r="H53" s="8" t="s">
        <v>447</v>
      </c>
      <c r="I53" s="31" t="s">
        <v>503</v>
      </c>
    </row>
    <row r="54" customFormat="false" ht="26.85" hidden="false" customHeight="false" outlineLevel="0" collapsed="false">
      <c r="A54" s="31" t="s">
        <v>197</v>
      </c>
      <c r="B54" s="31" t="n">
        <v>1</v>
      </c>
      <c r="C54" s="31" t="s">
        <v>424</v>
      </c>
      <c r="D54" s="31" t="s">
        <v>444</v>
      </c>
      <c r="E54" s="31" t="s">
        <v>466</v>
      </c>
      <c r="F54" s="8" t="s">
        <v>504</v>
      </c>
      <c r="G54" s="33" t="s">
        <v>279</v>
      </c>
      <c r="H54" s="8" t="s">
        <v>505</v>
      </c>
      <c r="I54" s="31" t="s">
        <v>506</v>
      </c>
    </row>
    <row r="55" customFormat="false" ht="15" hidden="false" customHeight="false" outlineLevel="0" collapsed="false">
      <c r="A55" s="31" t="s">
        <v>197</v>
      </c>
      <c r="B55" s="31" t="n">
        <v>2</v>
      </c>
      <c r="C55" s="31" t="s">
        <v>425</v>
      </c>
      <c r="D55" s="31" t="s">
        <v>439</v>
      </c>
      <c r="E55" s="31" t="s">
        <v>439</v>
      </c>
      <c r="F55" s="8" t="s">
        <v>440</v>
      </c>
      <c r="G55" s="33" t="s">
        <v>441</v>
      </c>
      <c r="H55" s="8" t="s">
        <v>442</v>
      </c>
      <c r="I55" s="31" t="s">
        <v>507</v>
      </c>
    </row>
    <row r="56" customFormat="false" ht="15" hidden="false" customHeight="false" outlineLevel="0" collapsed="false">
      <c r="A56" s="31" t="s">
        <v>197</v>
      </c>
      <c r="B56" s="31" t="n">
        <v>3</v>
      </c>
      <c r="C56" s="31" t="s">
        <v>426</v>
      </c>
      <c r="D56" s="31" t="s">
        <v>439</v>
      </c>
      <c r="E56" s="31" t="s">
        <v>439</v>
      </c>
      <c r="F56" s="8" t="s">
        <v>440</v>
      </c>
      <c r="G56" s="33" t="s">
        <v>441</v>
      </c>
      <c r="H56" s="8" t="s">
        <v>442</v>
      </c>
      <c r="I56" s="31" t="s">
        <v>508</v>
      </c>
    </row>
    <row r="57" customFormat="false" ht="15" hidden="false" customHeight="false" outlineLevel="0" collapsed="false">
      <c r="A57" s="31" t="s">
        <v>199</v>
      </c>
      <c r="B57" s="31" t="n">
        <v>1</v>
      </c>
      <c r="C57" s="31" t="s">
        <v>427</v>
      </c>
      <c r="D57" s="31" t="s">
        <v>444</v>
      </c>
      <c r="E57" s="31" t="s">
        <v>445</v>
      </c>
      <c r="F57" s="8" t="s">
        <v>509</v>
      </c>
      <c r="G57" s="33" t="s">
        <v>379</v>
      </c>
      <c r="H57" s="8" t="s">
        <v>447</v>
      </c>
      <c r="I57" s="31" t="s">
        <v>510</v>
      </c>
    </row>
    <row r="58" customFormat="false" ht="26.85" hidden="false" customHeight="false" outlineLevel="0" collapsed="false">
      <c r="A58" s="31" t="s">
        <v>199</v>
      </c>
      <c r="B58" s="31" t="n">
        <v>2</v>
      </c>
      <c r="C58" s="31" t="s">
        <v>428</v>
      </c>
      <c r="D58" s="31" t="s">
        <v>444</v>
      </c>
      <c r="E58" s="31" t="s">
        <v>445</v>
      </c>
      <c r="F58" s="8" t="s">
        <v>511</v>
      </c>
      <c r="G58" s="33" t="s">
        <v>379</v>
      </c>
      <c r="H58" s="8" t="s">
        <v>447</v>
      </c>
      <c r="I58" s="31" t="s">
        <v>512</v>
      </c>
    </row>
    <row r="59" customFormat="false" ht="15" hidden="false" customHeight="false" outlineLevel="0" collapsed="false">
      <c r="A59" s="31" t="s">
        <v>199</v>
      </c>
      <c r="B59" s="31" t="n">
        <v>3</v>
      </c>
      <c r="C59" s="31" t="s">
        <v>429</v>
      </c>
      <c r="D59" s="31" t="s">
        <v>444</v>
      </c>
      <c r="E59" s="31" t="s">
        <v>445</v>
      </c>
      <c r="F59" s="8" t="s">
        <v>513</v>
      </c>
      <c r="G59" s="33" t="s">
        <v>379</v>
      </c>
      <c r="H59" s="8" t="s">
        <v>447</v>
      </c>
      <c r="I59" s="31" t="s">
        <v>514</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515</v>
      </c>
      <c r="C1" s="7" t="s">
        <v>516</v>
      </c>
      <c r="D1" s="7" t="s">
        <v>517</v>
      </c>
      <c r="E1" s="7" t="s">
        <v>518</v>
      </c>
      <c r="F1" s="7" t="s">
        <v>519</v>
      </c>
      <c r="G1" s="7" t="s">
        <v>520</v>
      </c>
      <c r="H1" s="7" t="s">
        <v>521</v>
      </c>
    </row>
    <row r="2" customFormat="false" ht="26.25" hidden="false" customHeight="true" outlineLevel="0" collapsed="false">
      <c r="A2" s="8" t="s">
        <v>32</v>
      </c>
      <c r="B2" s="8" t="n">
        <v>7</v>
      </c>
      <c r="C2" s="8" t="n">
        <v>0</v>
      </c>
      <c r="D2" s="8" t="s">
        <v>281</v>
      </c>
      <c r="E2" s="8" t="s">
        <v>281</v>
      </c>
      <c r="F2" s="8" t="s">
        <v>522</v>
      </c>
      <c r="G2" s="8" t="s">
        <v>523</v>
      </c>
      <c r="H2" s="8" t="s">
        <v>523</v>
      </c>
    </row>
    <row r="3" customFormat="false" ht="51.75" hidden="false" customHeight="true" outlineLevel="0" collapsed="false">
      <c r="A3" s="8" t="s">
        <v>45</v>
      </c>
      <c r="B3" s="8" t="n">
        <v>7</v>
      </c>
      <c r="C3" s="8" t="n">
        <v>0</v>
      </c>
      <c r="D3" s="8" t="s">
        <v>281</v>
      </c>
      <c r="E3" s="8" t="s">
        <v>524</v>
      </c>
      <c r="F3" s="8" t="s">
        <v>522</v>
      </c>
      <c r="G3" s="8" t="s">
        <v>523</v>
      </c>
      <c r="H3" s="8" t="s">
        <v>523</v>
      </c>
    </row>
    <row r="4" customFormat="false" ht="51.75" hidden="false" customHeight="true" outlineLevel="0" collapsed="false">
      <c r="A4" s="8" t="s">
        <v>58</v>
      </c>
      <c r="B4" s="8" t="n">
        <v>7</v>
      </c>
      <c r="C4" s="8" t="n">
        <v>0</v>
      </c>
      <c r="D4" s="8" t="s">
        <v>281</v>
      </c>
      <c r="E4" s="8" t="s">
        <v>525</v>
      </c>
      <c r="F4" s="8" t="s">
        <v>522</v>
      </c>
      <c r="G4" s="8" t="s">
        <v>523</v>
      </c>
      <c r="H4" s="8" t="s">
        <v>523</v>
      </c>
    </row>
    <row r="5" customFormat="false" ht="26.25" hidden="false" customHeight="true" outlineLevel="0" collapsed="false">
      <c r="A5" s="8" t="s">
        <v>68</v>
      </c>
      <c r="B5" s="8" t="n">
        <v>7</v>
      </c>
      <c r="C5" s="8" t="n">
        <v>0</v>
      </c>
      <c r="D5" s="8" t="s">
        <v>281</v>
      </c>
      <c r="E5" s="8" t="s">
        <v>526</v>
      </c>
      <c r="F5" s="8" t="s">
        <v>522</v>
      </c>
      <c r="G5" s="8" t="s">
        <v>523</v>
      </c>
      <c r="H5" s="8" t="s">
        <v>523</v>
      </c>
    </row>
    <row r="6" customFormat="false" ht="26.25" hidden="false" customHeight="true" outlineLevel="0" collapsed="false">
      <c r="A6" s="8" t="s">
        <v>78</v>
      </c>
      <c r="B6" s="8" t="n">
        <v>6</v>
      </c>
      <c r="C6" s="8" t="n">
        <v>1</v>
      </c>
      <c r="D6" s="8" t="s">
        <v>527</v>
      </c>
      <c r="E6" s="8" t="s">
        <v>281</v>
      </c>
      <c r="F6" s="8" t="s">
        <v>522</v>
      </c>
      <c r="G6" s="8" t="s">
        <v>523</v>
      </c>
      <c r="H6" s="8" t="s">
        <v>523</v>
      </c>
    </row>
    <row r="7" customFormat="false" ht="26.25" hidden="false" customHeight="true" outlineLevel="0" collapsed="false">
      <c r="A7" s="8" t="s">
        <v>87</v>
      </c>
      <c r="B7" s="8" t="n">
        <v>5</v>
      </c>
      <c r="C7" s="8" t="n">
        <v>2</v>
      </c>
      <c r="D7" s="8" t="s">
        <v>528</v>
      </c>
      <c r="E7" s="8" t="s">
        <v>281</v>
      </c>
      <c r="F7" s="8" t="s">
        <v>522</v>
      </c>
      <c r="G7" s="8" t="s">
        <v>523</v>
      </c>
      <c r="H7" s="8" t="s">
        <v>523</v>
      </c>
    </row>
    <row r="8" customFormat="false" ht="77.25" hidden="false" customHeight="true" outlineLevel="0" collapsed="false">
      <c r="A8" s="8" t="s">
        <v>96</v>
      </c>
      <c r="B8" s="8" t="n">
        <v>11</v>
      </c>
      <c r="C8" s="8" t="n">
        <v>11</v>
      </c>
      <c r="D8" s="8" t="s">
        <v>529</v>
      </c>
      <c r="E8" s="8" t="s">
        <v>530</v>
      </c>
      <c r="F8" s="8" t="s">
        <v>522</v>
      </c>
      <c r="G8" s="8" t="s">
        <v>523</v>
      </c>
      <c r="H8" s="8" t="s">
        <v>523</v>
      </c>
    </row>
    <row r="9" customFormat="false" ht="26.25" hidden="false" customHeight="true" outlineLevel="0" collapsed="false">
      <c r="A9" s="8" t="s">
        <v>106</v>
      </c>
      <c r="B9" s="8" t="n">
        <v>7</v>
      </c>
      <c r="C9" s="8" t="n">
        <v>0</v>
      </c>
      <c r="D9" s="8" t="s">
        <v>281</v>
      </c>
      <c r="E9" s="8" t="s">
        <v>281</v>
      </c>
      <c r="F9" s="8" t="s">
        <v>522</v>
      </c>
      <c r="G9" s="8" t="s">
        <v>523</v>
      </c>
      <c r="H9" s="8" t="s">
        <v>523</v>
      </c>
    </row>
    <row r="10" customFormat="false" ht="26.25" hidden="false" customHeight="true" outlineLevel="0" collapsed="false">
      <c r="A10" s="8" t="s">
        <v>115</v>
      </c>
      <c r="B10" s="8" t="n">
        <v>7</v>
      </c>
      <c r="C10" s="8" t="n">
        <v>0</v>
      </c>
      <c r="D10" s="8" t="s">
        <v>281</v>
      </c>
      <c r="E10" s="8" t="s">
        <v>281</v>
      </c>
      <c r="F10" s="8" t="s">
        <v>522</v>
      </c>
      <c r="G10" s="8" t="s">
        <v>523</v>
      </c>
      <c r="H10" s="8" t="s">
        <v>523</v>
      </c>
    </row>
    <row r="11" customFormat="false" ht="26.25" hidden="false" customHeight="true" outlineLevel="0" collapsed="false">
      <c r="A11" s="8" t="s">
        <v>123</v>
      </c>
      <c r="B11" s="8" t="n">
        <v>7</v>
      </c>
      <c r="C11" s="8" t="n">
        <v>1</v>
      </c>
      <c r="D11" s="8" t="s">
        <v>531</v>
      </c>
      <c r="E11" s="8" t="s">
        <v>281</v>
      </c>
      <c r="F11" s="8" t="s">
        <v>522</v>
      </c>
      <c r="G11" s="8" t="s">
        <v>523</v>
      </c>
      <c r="H11" s="8" t="s">
        <v>523</v>
      </c>
    </row>
    <row r="12" customFormat="false" ht="26.25" hidden="false" customHeight="true" outlineLevel="0" collapsed="false">
      <c r="A12" s="8" t="s">
        <v>132</v>
      </c>
      <c r="B12" s="8" t="n">
        <v>7</v>
      </c>
      <c r="C12" s="8" t="n">
        <v>1</v>
      </c>
      <c r="D12" s="8" t="s">
        <v>531</v>
      </c>
      <c r="E12" s="8" t="s">
        <v>281</v>
      </c>
      <c r="F12" s="8" t="s">
        <v>522</v>
      </c>
      <c r="G12" s="8" t="s">
        <v>523</v>
      </c>
      <c r="H12" s="8" t="s">
        <v>523</v>
      </c>
    </row>
    <row r="13" customFormat="false" ht="26.25" hidden="false" customHeight="true" outlineLevel="0" collapsed="false">
      <c r="A13" s="8" t="s">
        <v>139</v>
      </c>
      <c r="B13" s="8" t="n">
        <v>11</v>
      </c>
      <c r="C13" s="8" t="n">
        <v>0</v>
      </c>
      <c r="D13" s="8" t="s">
        <v>281</v>
      </c>
      <c r="E13" s="8" t="s">
        <v>532</v>
      </c>
      <c r="F13" s="8" t="s">
        <v>522</v>
      </c>
      <c r="G13" s="8" t="s">
        <v>523</v>
      </c>
      <c r="H13" s="8" t="s">
        <v>523</v>
      </c>
    </row>
    <row r="15" customFormat="false" ht="15" hidden="false" customHeight="true" outlineLevel="0" collapsed="false">
      <c r="A15" s="30"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263</v>
      </c>
      <c r="C1" s="7" t="s">
        <v>534</v>
      </c>
      <c r="D1" s="7" t="s">
        <v>264</v>
      </c>
      <c r="E1" s="7" t="s">
        <v>535</v>
      </c>
      <c r="F1" s="7" t="s">
        <v>536</v>
      </c>
      <c r="G1" s="7" t="s">
        <v>537</v>
      </c>
      <c r="H1" s="7" t="s">
        <v>538</v>
      </c>
    </row>
    <row r="2" customFormat="false" ht="39" hidden="false" customHeight="true" outlineLevel="0" collapsed="false">
      <c r="A2" s="8" t="s">
        <v>32</v>
      </c>
      <c r="B2" s="8" t="s">
        <v>539</v>
      </c>
      <c r="C2" s="8" t="s">
        <v>540</v>
      </c>
      <c r="D2" s="8" t="s">
        <v>541</v>
      </c>
      <c r="E2" s="8" t="n">
        <v>1</v>
      </c>
      <c r="F2" s="8" t="s">
        <v>542</v>
      </c>
      <c r="G2" s="8" t="s">
        <v>543</v>
      </c>
      <c r="H2" s="8" t="s">
        <v>544</v>
      </c>
    </row>
    <row r="3" customFormat="false" ht="39" hidden="false" customHeight="true" outlineLevel="0" collapsed="false">
      <c r="A3" s="8" t="s">
        <v>32</v>
      </c>
      <c r="B3" s="8" t="s">
        <v>545</v>
      </c>
      <c r="C3" s="8" t="s">
        <v>546</v>
      </c>
      <c r="D3" s="8" t="s">
        <v>547</v>
      </c>
      <c r="E3" s="8" t="n">
        <v>1</v>
      </c>
      <c r="F3" s="8" t="s">
        <v>548</v>
      </c>
      <c r="G3" s="8" t="s">
        <v>75</v>
      </c>
      <c r="H3" s="8" t="s">
        <v>549</v>
      </c>
    </row>
    <row r="4" customFormat="false" ht="26.25" hidden="false" customHeight="true" outlineLevel="0" collapsed="false">
      <c r="A4" s="8" t="s">
        <v>45</v>
      </c>
      <c r="B4" s="8" t="s">
        <v>550</v>
      </c>
      <c r="C4" s="8" t="s">
        <v>551</v>
      </c>
      <c r="D4" s="8" t="s">
        <v>552</v>
      </c>
      <c r="E4" s="8" t="n">
        <v>1</v>
      </c>
      <c r="F4" s="8" t="s">
        <v>553</v>
      </c>
      <c r="G4" s="8" t="s">
        <v>554</v>
      </c>
      <c r="H4" s="8"/>
    </row>
    <row r="5" customFormat="false" ht="26.25" hidden="false" customHeight="true" outlineLevel="0" collapsed="false">
      <c r="A5" s="8" t="s">
        <v>58</v>
      </c>
      <c r="B5" s="8" t="s">
        <v>555</v>
      </c>
      <c r="C5" s="8" t="s">
        <v>556</v>
      </c>
      <c r="D5" s="8" t="s">
        <v>557</v>
      </c>
      <c r="E5" s="8" t="n">
        <v>1</v>
      </c>
      <c r="F5" s="8" t="s">
        <v>558</v>
      </c>
      <c r="G5" s="8" t="s">
        <v>559</v>
      </c>
      <c r="H5" s="8"/>
    </row>
    <row r="6" customFormat="false" ht="15" hidden="false" customHeight="true" outlineLevel="0" collapsed="false">
      <c r="A6" s="8" t="s">
        <v>68</v>
      </c>
      <c r="B6" s="8" t="s">
        <v>560</v>
      </c>
      <c r="C6" s="8" t="s">
        <v>561</v>
      </c>
      <c r="D6" s="8" t="s">
        <v>562</v>
      </c>
      <c r="E6" s="8" t="n">
        <v>1</v>
      </c>
      <c r="F6" s="8" t="s">
        <v>563</v>
      </c>
      <c r="G6" s="8" t="s">
        <v>564</v>
      </c>
      <c r="H6" s="8" t="s">
        <v>565</v>
      </c>
    </row>
    <row r="7" customFormat="false" ht="15" hidden="false" customHeight="true" outlineLevel="0" collapsed="false">
      <c r="A7" s="8" t="s">
        <v>78</v>
      </c>
      <c r="B7" s="8" t="s">
        <v>566</v>
      </c>
      <c r="C7" s="8" t="s">
        <v>567</v>
      </c>
      <c r="D7" s="8" t="s">
        <v>568</v>
      </c>
      <c r="E7" s="8" t="n">
        <v>1</v>
      </c>
      <c r="F7" s="8" t="s">
        <v>569</v>
      </c>
      <c r="G7" s="8" t="s">
        <v>527</v>
      </c>
      <c r="H7" s="8"/>
    </row>
    <row r="8" customFormat="false" ht="26.25" hidden="false" customHeight="true" outlineLevel="0" collapsed="false">
      <c r="A8" s="8" t="s">
        <v>87</v>
      </c>
      <c r="B8" s="8" t="s">
        <v>570</v>
      </c>
      <c r="C8" s="8" t="s">
        <v>571</v>
      </c>
      <c r="D8" s="8" t="s">
        <v>572</v>
      </c>
      <c r="E8" s="8" t="n">
        <v>1</v>
      </c>
      <c r="F8" s="8" t="s">
        <v>573</v>
      </c>
      <c r="G8" s="8" t="s">
        <v>528</v>
      </c>
      <c r="H8" s="8" t="s">
        <v>574</v>
      </c>
    </row>
    <row r="9" customFormat="false" ht="51.75" hidden="false" customHeight="true" outlineLevel="0" collapsed="false">
      <c r="A9" s="8" t="s">
        <v>96</v>
      </c>
      <c r="B9" s="8" t="s">
        <v>575</v>
      </c>
      <c r="C9" s="8" t="s">
        <v>576</v>
      </c>
      <c r="D9" s="8" t="s">
        <v>577</v>
      </c>
      <c r="E9" s="8" t="n">
        <v>1</v>
      </c>
      <c r="F9" s="8" t="s">
        <v>578</v>
      </c>
      <c r="G9" s="8" t="s">
        <v>579</v>
      </c>
      <c r="H9" s="8" t="s">
        <v>580</v>
      </c>
    </row>
    <row r="10" customFormat="false" ht="15" hidden="false" customHeight="true" outlineLevel="0" collapsed="false">
      <c r="A10" s="8" t="s">
        <v>106</v>
      </c>
      <c r="B10" s="8" t="s">
        <v>581</v>
      </c>
      <c r="C10" s="8" t="s">
        <v>582</v>
      </c>
      <c r="D10" s="8" t="s">
        <v>583</v>
      </c>
      <c r="E10" s="8" t="n">
        <v>1</v>
      </c>
      <c r="F10" s="8" t="s">
        <v>584</v>
      </c>
      <c r="G10" s="8" t="s">
        <v>585</v>
      </c>
      <c r="H10" s="8"/>
    </row>
    <row r="11" customFormat="false" ht="15" hidden="false" customHeight="true" outlineLevel="0" collapsed="false">
      <c r="A11" s="8" t="s">
        <v>115</v>
      </c>
      <c r="B11" s="8" t="s">
        <v>586</v>
      </c>
      <c r="C11" s="8" t="s">
        <v>587</v>
      </c>
      <c r="D11" s="8" t="s">
        <v>588</v>
      </c>
      <c r="E11" s="8" t="n">
        <v>3</v>
      </c>
      <c r="F11" s="8" t="s">
        <v>589</v>
      </c>
      <c r="G11" s="8" t="s">
        <v>585</v>
      </c>
      <c r="H11" s="8" t="s">
        <v>590</v>
      </c>
    </row>
    <row r="12" customFormat="false" ht="26.25" hidden="false" customHeight="true" outlineLevel="0" collapsed="false">
      <c r="A12" s="8" t="s">
        <v>123</v>
      </c>
      <c r="B12" s="8" t="s">
        <v>591</v>
      </c>
      <c r="C12" s="8" t="s">
        <v>592</v>
      </c>
      <c r="D12" s="8" t="s">
        <v>593</v>
      </c>
      <c r="E12" s="8" t="n">
        <v>2</v>
      </c>
      <c r="F12" s="8" t="s">
        <v>594</v>
      </c>
      <c r="G12" s="8" t="s">
        <v>531</v>
      </c>
      <c r="H12" s="8" t="s">
        <v>595</v>
      </c>
    </row>
    <row r="13" customFormat="false" ht="26.25" hidden="false" customHeight="true" outlineLevel="0" collapsed="false">
      <c r="A13" s="8" t="s">
        <v>132</v>
      </c>
      <c r="B13" s="8" t="s">
        <v>596</v>
      </c>
      <c r="C13" s="8" t="s">
        <v>597</v>
      </c>
      <c r="D13" s="8" t="s">
        <v>598</v>
      </c>
      <c r="E13" s="8" t="n">
        <v>2</v>
      </c>
      <c r="F13" s="8" t="s">
        <v>599</v>
      </c>
      <c r="G13" s="8" t="s">
        <v>600</v>
      </c>
      <c r="H13" s="8" t="s">
        <v>601</v>
      </c>
    </row>
    <row r="14" customFormat="false" ht="15" hidden="false" customHeight="true" outlineLevel="0" collapsed="false">
      <c r="A14" s="8" t="s">
        <v>139</v>
      </c>
      <c r="B14" s="8" t="s">
        <v>602</v>
      </c>
      <c r="C14" s="8" t="s">
        <v>603</v>
      </c>
      <c r="D14" s="8" t="s">
        <v>604</v>
      </c>
      <c r="E14" s="8" t="n">
        <v>1</v>
      </c>
      <c r="F14" s="8" t="s">
        <v>605</v>
      </c>
      <c r="G14" s="8" t="s">
        <v>564</v>
      </c>
      <c r="H14" s="8"/>
    </row>
    <row r="16" customFormat="false" ht="15" hidden="false" customHeight="true" outlineLevel="0" collapsed="false">
      <c r="A16" s="30" t="s">
        <v>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6"/>
    <col collapsed="false" customWidth="true" hidden="false" outlineLevel="0" max="4" min="4" style="0" width="21"/>
    <col collapsed="false" customWidth="true" hidden="false" outlineLevel="0" max="5" min="5" style="0" width="8"/>
    <col collapsed="false" customWidth="true" hidden="false" outlineLevel="0" max="6" min="6" style="0" width="10"/>
    <col collapsed="false" customWidth="true" hidden="false" outlineLevel="0" max="9" min="7" style="0" width="9"/>
    <col collapsed="false" customWidth="true" hidden="false" outlineLevel="0" max="10" min="10" style="0" width="10"/>
    <col collapsed="false" customWidth="true" hidden="false" outlineLevel="0" max="11" min="11" style="0" width="21"/>
    <col collapsed="false" customWidth="true" hidden="false" outlineLevel="0" max="12" min="12" style="0" width="12"/>
  </cols>
  <sheetData>
    <row r="1" customFormat="false" ht="17.35" hidden="false" customHeight="false" outlineLevel="0" collapsed="false">
      <c r="A1" s="17" t="s">
        <v>607</v>
      </c>
    </row>
    <row r="2" customFormat="false" ht="30" hidden="false" customHeight="true" outlineLevel="0" collapsed="false">
      <c r="A2" s="18" t="s">
        <v>608</v>
      </c>
      <c r="B2" s="18"/>
      <c r="C2" s="18"/>
      <c r="D2" s="18"/>
      <c r="E2" s="18"/>
      <c r="F2" s="18"/>
      <c r="G2" s="18"/>
      <c r="H2" s="18"/>
      <c r="I2" s="18"/>
      <c r="J2" s="18"/>
      <c r="K2" s="18"/>
      <c r="L2" s="18"/>
    </row>
    <row r="4" customFormat="false" ht="39.55" hidden="false" customHeight="false" outlineLevel="0" collapsed="false">
      <c r="A4" s="19" t="s">
        <v>264</v>
      </c>
      <c r="B4" s="19" t="s">
        <v>609</v>
      </c>
      <c r="C4" s="19" t="s">
        <v>265</v>
      </c>
      <c r="D4" s="19" t="s">
        <v>610</v>
      </c>
      <c r="E4" s="19" t="s">
        <v>611</v>
      </c>
      <c r="F4" s="19" t="s">
        <v>612</v>
      </c>
      <c r="G4" s="19" t="s">
        <v>613</v>
      </c>
      <c r="H4" s="19" t="s">
        <v>614</v>
      </c>
      <c r="I4" s="19" t="s">
        <v>615</v>
      </c>
      <c r="J4" s="19" t="s">
        <v>616</v>
      </c>
      <c r="K4" s="19" t="s">
        <v>617</v>
      </c>
      <c r="L4" s="19" t="s">
        <v>618</v>
      </c>
    </row>
    <row r="5" customFormat="false" ht="15" hidden="false" customHeight="false" outlineLevel="0" collapsed="false">
      <c r="A5" s="31" t="s">
        <v>384</v>
      </c>
      <c r="B5" s="31" t="s">
        <v>619</v>
      </c>
      <c r="C5" s="31" t="s">
        <v>275</v>
      </c>
      <c r="D5" s="31" t="s">
        <v>620</v>
      </c>
      <c r="E5" s="31" t="n">
        <v>73</v>
      </c>
      <c r="F5" s="31" t="n">
        <v>19</v>
      </c>
      <c r="G5" s="31" t="n">
        <v>6</v>
      </c>
      <c r="H5" s="31" t="n">
        <v>1</v>
      </c>
      <c r="I5" s="31" t="n">
        <v>29</v>
      </c>
      <c r="J5" s="31" t="s">
        <v>621</v>
      </c>
      <c r="K5" s="31" t="s">
        <v>622</v>
      </c>
      <c r="L5" s="31" t="n">
        <v>77</v>
      </c>
    </row>
    <row r="6" customFormat="false" ht="15" hidden="false" customHeight="false" outlineLevel="0" collapsed="false">
      <c r="A6" s="31" t="s">
        <v>385</v>
      </c>
      <c r="B6" s="31" t="s">
        <v>619</v>
      </c>
      <c r="C6" s="31" t="s">
        <v>284</v>
      </c>
      <c r="D6" s="31" t="s">
        <v>623</v>
      </c>
      <c r="E6" s="31" t="n">
        <v>58</v>
      </c>
      <c r="F6" s="31" t="n">
        <v>17</v>
      </c>
      <c r="G6" s="31" t="n">
        <v>6</v>
      </c>
      <c r="H6" s="31" t="n">
        <v>1</v>
      </c>
      <c r="I6" s="31" t="n">
        <v>18</v>
      </c>
      <c r="J6" s="31" t="s">
        <v>621</v>
      </c>
      <c r="K6" s="31" t="s">
        <v>622</v>
      </c>
      <c r="L6" s="31" t="s">
        <v>624</v>
      </c>
    </row>
    <row r="7" customFormat="false" ht="15" hidden="false" customHeight="false" outlineLevel="0" collapsed="false">
      <c r="A7" s="31" t="s">
        <v>386</v>
      </c>
      <c r="B7" s="31" t="s">
        <v>619</v>
      </c>
      <c r="C7" s="31" t="s">
        <v>284</v>
      </c>
      <c r="D7" s="31" t="s">
        <v>625</v>
      </c>
      <c r="E7" s="31" t="n">
        <v>77</v>
      </c>
      <c r="F7" s="31" t="n">
        <v>20</v>
      </c>
      <c r="G7" s="31" t="n">
        <v>4</v>
      </c>
      <c r="H7" s="31" t="n">
        <v>1</v>
      </c>
      <c r="I7" s="31" t="n">
        <v>35</v>
      </c>
      <c r="J7" s="31" t="s">
        <v>621</v>
      </c>
      <c r="K7" s="31" t="s">
        <v>622</v>
      </c>
      <c r="L7" s="31" t="s">
        <v>624</v>
      </c>
    </row>
    <row r="8" customFormat="false" ht="15" hidden="false" customHeight="false" outlineLevel="0" collapsed="false">
      <c r="A8" s="31" t="s">
        <v>387</v>
      </c>
      <c r="B8" s="31" t="s">
        <v>626</v>
      </c>
      <c r="C8" s="31" t="s">
        <v>275</v>
      </c>
      <c r="D8" s="31" t="s">
        <v>620</v>
      </c>
      <c r="E8" s="31" t="n">
        <v>84</v>
      </c>
      <c r="F8" s="31" t="n">
        <v>24</v>
      </c>
      <c r="G8" s="31" t="n">
        <v>9</v>
      </c>
      <c r="H8" s="31" t="n">
        <v>1</v>
      </c>
      <c r="I8" s="31" t="n">
        <v>30</v>
      </c>
      <c r="J8" s="31" t="s">
        <v>621</v>
      </c>
      <c r="K8" s="31" t="s">
        <v>627</v>
      </c>
      <c r="L8" s="31" t="n">
        <v>88</v>
      </c>
    </row>
    <row r="9" customFormat="false" ht="15" hidden="false" customHeight="false" outlineLevel="0" collapsed="false">
      <c r="A9" s="31" t="s">
        <v>388</v>
      </c>
      <c r="B9" s="31" t="s">
        <v>626</v>
      </c>
      <c r="C9" s="31" t="s">
        <v>284</v>
      </c>
      <c r="D9" s="31" t="s">
        <v>628</v>
      </c>
      <c r="E9" s="31" t="n">
        <v>83</v>
      </c>
      <c r="F9" s="31" t="n">
        <v>23</v>
      </c>
      <c r="G9" s="31" t="n">
        <v>6</v>
      </c>
      <c r="H9" s="31" t="n">
        <v>1</v>
      </c>
      <c r="I9" s="31" t="n">
        <v>35</v>
      </c>
      <c r="J9" s="31" t="s">
        <v>621</v>
      </c>
      <c r="K9" s="31" t="s">
        <v>627</v>
      </c>
      <c r="L9" s="31" t="s">
        <v>624</v>
      </c>
    </row>
    <row r="10" customFormat="false" ht="15" hidden="false" customHeight="false" outlineLevel="0" collapsed="false">
      <c r="A10" s="31" t="s">
        <v>389</v>
      </c>
      <c r="B10" s="31" t="s">
        <v>626</v>
      </c>
      <c r="C10" s="31" t="s">
        <v>284</v>
      </c>
      <c r="D10" s="31" t="s">
        <v>629</v>
      </c>
      <c r="E10" s="31" t="n">
        <v>75</v>
      </c>
      <c r="F10" s="31" t="n">
        <v>20</v>
      </c>
      <c r="G10" s="31" t="n">
        <v>6</v>
      </c>
      <c r="H10" s="31" t="n">
        <v>1</v>
      </c>
      <c r="I10" s="31" t="n">
        <v>31</v>
      </c>
      <c r="J10" s="31" t="s">
        <v>621</v>
      </c>
      <c r="K10" s="31" t="s">
        <v>627</v>
      </c>
      <c r="L10" s="31" t="s">
        <v>624</v>
      </c>
    </row>
    <row r="11" customFormat="false" ht="15" hidden="false" customHeight="false" outlineLevel="0" collapsed="false">
      <c r="A11" s="31" t="s">
        <v>390</v>
      </c>
      <c r="B11" s="31" t="s">
        <v>630</v>
      </c>
      <c r="C11" s="31" t="s">
        <v>275</v>
      </c>
      <c r="D11" s="31" t="s">
        <v>631</v>
      </c>
      <c r="E11" s="31" t="n">
        <v>68</v>
      </c>
      <c r="F11" s="31" t="n">
        <v>15</v>
      </c>
      <c r="G11" s="31" t="n">
        <v>5</v>
      </c>
      <c r="H11" s="31" t="n">
        <v>0</v>
      </c>
      <c r="I11" s="31" t="n">
        <v>33</v>
      </c>
      <c r="J11" s="31" t="s">
        <v>621</v>
      </c>
      <c r="K11" s="31" t="s">
        <v>632</v>
      </c>
      <c r="L11" s="31" t="n">
        <v>71</v>
      </c>
    </row>
    <row r="12" customFormat="false" ht="15" hidden="false" customHeight="false" outlineLevel="0" collapsed="false">
      <c r="A12" s="31" t="s">
        <v>391</v>
      </c>
      <c r="B12" s="31" t="s">
        <v>630</v>
      </c>
      <c r="C12" s="31" t="s">
        <v>284</v>
      </c>
      <c r="D12" s="31" t="s">
        <v>633</v>
      </c>
      <c r="E12" s="31" t="n">
        <v>72</v>
      </c>
      <c r="F12" s="31" t="n">
        <v>19</v>
      </c>
      <c r="G12" s="31" t="n">
        <v>6</v>
      </c>
      <c r="H12" s="31" t="n">
        <v>1</v>
      </c>
      <c r="I12" s="31" t="n">
        <v>31</v>
      </c>
      <c r="J12" s="31" t="s">
        <v>621</v>
      </c>
      <c r="K12" s="31" t="s">
        <v>632</v>
      </c>
      <c r="L12" s="31" t="s">
        <v>624</v>
      </c>
    </row>
    <row r="13" customFormat="false" ht="15" hidden="false" customHeight="false" outlineLevel="0" collapsed="false">
      <c r="A13" s="31" t="s">
        <v>392</v>
      </c>
      <c r="B13" s="31" t="s">
        <v>630</v>
      </c>
      <c r="C13" s="31" t="s">
        <v>284</v>
      </c>
      <c r="D13" s="31" t="s">
        <v>293</v>
      </c>
      <c r="E13" s="31" t="n">
        <v>74</v>
      </c>
      <c r="F13" s="31" t="n">
        <v>16</v>
      </c>
      <c r="G13" s="31" t="n">
        <v>4</v>
      </c>
      <c r="H13" s="31" t="n">
        <v>0</v>
      </c>
      <c r="I13" s="31" t="n">
        <v>39</v>
      </c>
      <c r="J13" s="31" t="s">
        <v>621</v>
      </c>
      <c r="K13" s="31" t="s">
        <v>632</v>
      </c>
      <c r="L13" s="31" t="s">
        <v>624</v>
      </c>
    </row>
    <row r="14" customFormat="false" ht="15" hidden="false" customHeight="false" outlineLevel="0" collapsed="false">
      <c r="A14" s="31" t="s">
        <v>393</v>
      </c>
      <c r="B14" s="31" t="s">
        <v>634</v>
      </c>
      <c r="C14" s="31" t="s">
        <v>275</v>
      </c>
      <c r="D14" s="31" t="s">
        <v>276</v>
      </c>
      <c r="E14" s="31" t="n">
        <v>75</v>
      </c>
      <c r="F14" s="31" t="n">
        <v>18</v>
      </c>
      <c r="G14" s="31" t="n">
        <v>6</v>
      </c>
      <c r="H14" s="31" t="n">
        <v>1</v>
      </c>
      <c r="I14" s="31" t="n">
        <v>33</v>
      </c>
      <c r="J14" s="31" t="s">
        <v>621</v>
      </c>
      <c r="K14" s="31" t="s">
        <v>635</v>
      </c>
      <c r="L14" s="31" t="n">
        <v>79</v>
      </c>
    </row>
    <row r="15" customFormat="false" ht="15" hidden="false" customHeight="false" outlineLevel="0" collapsed="false">
      <c r="A15" s="31" t="s">
        <v>394</v>
      </c>
      <c r="B15" s="31" t="s">
        <v>634</v>
      </c>
      <c r="C15" s="31" t="s">
        <v>284</v>
      </c>
      <c r="D15" s="31" t="s">
        <v>636</v>
      </c>
      <c r="E15" s="31" t="n">
        <v>73</v>
      </c>
      <c r="F15" s="31" t="n">
        <v>18</v>
      </c>
      <c r="G15" s="31" t="n">
        <v>6</v>
      </c>
      <c r="H15" s="31" t="n">
        <v>1</v>
      </c>
      <c r="I15" s="31" t="n">
        <v>31</v>
      </c>
      <c r="J15" s="31" t="s">
        <v>621</v>
      </c>
      <c r="K15" s="31" t="s">
        <v>635</v>
      </c>
      <c r="L15" s="31" t="s">
        <v>624</v>
      </c>
    </row>
    <row r="16" customFormat="false" ht="15" hidden="false" customHeight="false" outlineLevel="0" collapsed="false">
      <c r="A16" s="31" t="s">
        <v>395</v>
      </c>
      <c r="B16" s="31" t="s">
        <v>634</v>
      </c>
      <c r="C16" s="31" t="s">
        <v>284</v>
      </c>
      <c r="D16" s="31" t="s">
        <v>637</v>
      </c>
      <c r="E16" s="31" t="n">
        <v>79</v>
      </c>
      <c r="F16" s="31" t="n">
        <v>21</v>
      </c>
      <c r="G16" s="31" t="n">
        <v>7</v>
      </c>
      <c r="H16" s="31" t="n">
        <v>1</v>
      </c>
      <c r="I16" s="31" t="n">
        <v>33</v>
      </c>
      <c r="J16" s="31" t="s">
        <v>621</v>
      </c>
      <c r="K16" s="31" t="s">
        <v>635</v>
      </c>
      <c r="L16" s="31" t="s">
        <v>624</v>
      </c>
    </row>
    <row r="17" customFormat="false" ht="15" hidden="false" customHeight="false" outlineLevel="0" collapsed="false">
      <c r="A17" s="31" t="s">
        <v>396</v>
      </c>
      <c r="B17" s="31" t="s">
        <v>638</v>
      </c>
      <c r="C17" s="31" t="s">
        <v>275</v>
      </c>
      <c r="D17" s="31" t="s">
        <v>276</v>
      </c>
      <c r="E17" s="31" t="n">
        <v>77</v>
      </c>
      <c r="F17" s="31" t="n">
        <v>18</v>
      </c>
      <c r="G17" s="31" t="n">
        <v>6</v>
      </c>
      <c r="H17" s="31" t="n">
        <v>1</v>
      </c>
      <c r="I17" s="31" t="n">
        <v>34</v>
      </c>
      <c r="J17" s="31" t="s">
        <v>621</v>
      </c>
      <c r="K17" s="31" t="s">
        <v>639</v>
      </c>
      <c r="L17" s="31" t="n">
        <v>80</v>
      </c>
    </row>
    <row r="18" customFormat="false" ht="15" hidden="false" customHeight="false" outlineLevel="0" collapsed="false">
      <c r="A18" s="31" t="s">
        <v>397</v>
      </c>
      <c r="B18" s="31" t="s">
        <v>638</v>
      </c>
      <c r="C18" s="31" t="s">
        <v>284</v>
      </c>
      <c r="D18" s="31" t="s">
        <v>306</v>
      </c>
      <c r="E18" s="31" t="n">
        <v>87</v>
      </c>
      <c r="F18" s="31" t="n">
        <v>23</v>
      </c>
      <c r="G18" s="31" t="n">
        <v>7</v>
      </c>
      <c r="H18" s="31" t="n">
        <v>1</v>
      </c>
      <c r="I18" s="31" t="n">
        <v>39</v>
      </c>
      <c r="J18" s="31" t="s">
        <v>621</v>
      </c>
      <c r="K18" s="31" t="s">
        <v>639</v>
      </c>
      <c r="L18" s="31" t="s">
        <v>624</v>
      </c>
    </row>
    <row r="19" customFormat="false" ht="15" hidden="false" customHeight="false" outlineLevel="0" collapsed="false">
      <c r="A19" s="31" t="s">
        <v>398</v>
      </c>
      <c r="B19" s="31" t="s">
        <v>638</v>
      </c>
      <c r="C19" s="31" t="s">
        <v>284</v>
      </c>
      <c r="D19" s="31" t="s">
        <v>640</v>
      </c>
      <c r="E19" s="31" t="n">
        <v>184</v>
      </c>
      <c r="F19" s="31" t="n">
        <v>25</v>
      </c>
      <c r="G19" s="31" t="n">
        <v>9</v>
      </c>
      <c r="H19" s="31" t="n">
        <v>1</v>
      </c>
      <c r="I19" s="31" t="n">
        <v>131</v>
      </c>
      <c r="J19" s="31" t="s">
        <v>621</v>
      </c>
      <c r="K19" s="31" t="s">
        <v>639</v>
      </c>
      <c r="L19" s="31" t="s">
        <v>624</v>
      </c>
    </row>
    <row r="20" customFormat="false" ht="15" hidden="false" customHeight="false" outlineLevel="0" collapsed="false">
      <c r="A20" s="31" t="s">
        <v>399</v>
      </c>
      <c r="B20" s="31" t="s">
        <v>641</v>
      </c>
      <c r="C20" s="31" t="s">
        <v>275</v>
      </c>
      <c r="D20" s="31" t="s">
        <v>310</v>
      </c>
      <c r="E20" s="31" t="n">
        <v>73</v>
      </c>
      <c r="F20" s="31" t="n">
        <v>19</v>
      </c>
      <c r="G20" s="31" t="n">
        <v>6</v>
      </c>
      <c r="H20" s="31" t="n">
        <v>1</v>
      </c>
      <c r="I20" s="31" t="n">
        <v>30</v>
      </c>
      <c r="J20" s="31" t="s">
        <v>621</v>
      </c>
      <c r="K20" s="31" t="s">
        <v>642</v>
      </c>
      <c r="L20" s="31" t="n">
        <v>75</v>
      </c>
    </row>
    <row r="21" customFormat="false" ht="15" hidden="false" customHeight="false" outlineLevel="0" collapsed="false">
      <c r="A21" s="31" t="s">
        <v>400</v>
      </c>
      <c r="B21" s="31" t="s">
        <v>641</v>
      </c>
      <c r="C21" s="31" t="s">
        <v>284</v>
      </c>
      <c r="D21" s="31" t="s">
        <v>643</v>
      </c>
      <c r="E21" s="31" t="n">
        <v>81</v>
      </c>
      <c r="F21" s="31" t="n">
        <v>23</v>
      </c>
      <c r="G21" s="31" t="n">
        <v>6</v>
      </c>
      <c r="H21" s="31" t="n">
        <v>1</v>
      </c>
      <c r="I21" s="31" t="n">
        <v>32</v>
      </c>
      <c r="J21" s="31" t="s">
        <v>621</v>
      </c>
      <c r="K21" s="31" t="s">
        <v>642</v>
      </c>
      <c r="L21" s="31" t="s">
        <v>624</v>
      </c>
    </row>
    <row r="22" customFormat="false" ht="15" hidden="false" customHeight="false" outlineLevel="0" collapsed="false">
      <c r="A22" s="31" t="s">
        <v>401</v>
      </c>
      <c r="B22" s="31" t="s">
        <v>641</v>
      </c>
      <c r="C22" s="31" t="s">
        <v>284</v>
      </c>
      <c r="D22" s="31" t="s">
        <v>317</v>
      </c>
      <c r="E22" s="31" t="n">
        <v>77</v>
      </c>
      <c r="F22" s="31" t="n">
        <v>21</v>
      </c>
      <c r="G22" s="31" t="n">
        <v>6</v>
      </c>
      <c r="H22" s="31" t="n">
        <v>1</v>
      </c>
      <c r="I22" s="31" t="n">
        <v>32</v>
      </c>
      <c r="J22" s="31" t="s">
        <v>621</v>
      </c>
      <c r="K22" s="31" t="s">
        <v>642</v>
      </c>
      <c r="L22" s="31" t="s">
        <v>624</v>
      </c>
    </row>
    <row r="23" customFormat="false" ht="15" hidden="false" customHeight="false" outlineLevel="0" collapsed="false">
      <c r="A23" s="31" t="s">
        <v>402</v>
      </c>
      <c r="B23" s="31" t="s">
        <v>644</v>
      </c>
      <c r="C23" s="31" t="s">
        <v>275</v>
      </c>
      <c r="D23" s="31" t="s">
        <v>645</v>
      </c>
      <c r="E23" s="31" t="n">
        <v>81</v>
      </c>
      <c r="F23" s="31" t="n">
        <v>21</v>
      </c>
      <c r="G23" s="31" t="n">
        <v>6</v>
      </c>
      <c r="H23" s="31" t="n">
        <v>1</v>
      </c>
      <c r="I23" s="31" t="n">
        <v>37</v>
      </c>
      <c r="J23" s="31" t="s">
        <v>621</v>
      </c>
      <c r="K23" s="31" t="s">
        <v>620</v>
      </c>
      <c r="L23" s="31" t="n">
        <v>85</v>
      </c>
    </row>
    <row r="24" customFormat="false" ht="15" hidden="false" customHeight="false" outlineLevel="0" collapsed="false">
      <c r="A24" s="31" t="s">
        <v>403</v>
      </c>
      <c r="B24" s="31" t="s">
        <v>644</v>
      </c>
      <c r="C24" s="31" t="s">
        <v>284</v>
      </c>
      <c r="D24" s="31" t="s">
        <v>323</v>
      </c>
      <c r="E24" s="31" t="n">
        <v>78</v>
      </c>
      <c r="F24" s="31" t="n">
        <v>19</v>
      </c>
      <c r="G24" s="31" t="n">
        <v>6</v>
      </c>
      <c r="H24" s="31" t="n">
        <v>1</v>
      </c>
      <c r="I24" s="31" t="n">
        <v>37</v>
      </c>
      <c r="J24" s="31" t="s">
        <v>621</v>
      </c>
      <c r="K24" s="31" t="s">
        <v>620</v>
      </c>
      <c r="L24" s="31" t="s">
        <v>624</v>
      </c>
    </row>
    <row r="25" customFormat="false" ht="15" hidden="false" customHeight="false" outlineLevel="0" collapsed="false">
      <c r="A25" s="31" t="s">
        <v>404</v>
      </c>
      <c r="B25" s="31" t="s">
        <v>644</v>
      </c>
      <c r="C25" s="31" t="s">
        <v>284</v>
      </c>
      <c r="D25" s="31" t="s">
        <v>646</v>
      </c>
      <c r="E25" s="31" t="n">
        <v>88</v>
      </c>
      <c r="F25" s="31" t="n">
        <v>22</v>
      </c>
      <c r="G25" s="31" t="n">
        <v>7</v>
      </c>
      <c r="H25" s="31" t="n">
        <v>1</v>
      </c>
      <c r="I25" s="31" t="n">
        <v>41</v>
      </c>
      <c r="J25" s="31" t="s">
        <v>621</v>
      </c>
      <c r="K25" s="31" t="s">
        <v>620</v>
      </c>
      <c r="L25" s="31" t="s">
        <v>624</v>
      </c>
    </row>
    <row r="26" customFormat="false" ht="15" hidden="false" customHeight="false" outlineLevel="0" collapsed="false">
      <c r="A26" s="31" t="s">
        <v>405</v>
      </c>
      <c r="B26" s="31" t="s">
        <v>647</v>
      </c>
      <c r="C26" s="31" t="s">
        <v>275</v>
      </c>
      <c r="D26" s="31" t="s">
        <v>320</v>
      </c>
      <c r="E26" s="31" t="n">
        <v>74</v>
      </c>
      <c r="F26" s="31" t="n">
        <v>19</v>
      </c>
      <c r="G26" s="31" t="n">
        <v>7</v>
      </c>
      <c r="H26" s="31" t="n">
        <v>1</v>
      </c>
      <c r="I26" s="31" t="n">
        <v>30</v>
      </c>
      <c r="J26" s="31" t="s">
        <v>648</v>
      </c>
      <c r="K26" s="31" t="s">
        <v>631</v>
      </c>
      <c r="L26" s="31" t="n">
        <v>77</v>
      </c>
    </row>
    <row r="27" customFormat="false" ht="15" hidden="false" customHeight="false" outlineLevel="0" collapsed="false">
      <c r="A27" s="31" t="s">
        <v>406</v>
      </c>
      <c r="B27" s="31" t="s">
        <v>647</v>
      </c>
      <c r="C27" s="31" t="s">
        <v>284</v>
      </c>
      <c r="D27" s="31" t="s">
        <v>649</v>
      </c>
      <c r="E27" s="31" t="n">
        <v>95</v>
      </c>
      <c r="F27" s="31" t="n">
        <v>23</v>
      </c>
      <c r="G27" s="31" t="n">
        <v>5</v>
      </c>
      <c r="H27" s="31" t="n">
        <v>1</v>
      </c>
      <c r="I27" s="31" t="n">
        <v>48</v>
      </c>
      <c r="J27" s="31" t="s">
        <v>621</v>
      </c>
      <c r="K27" s="31" t="s">
        <v>631</v>
      </c>
      <c r="L27" s="31" t="s">
        <v>624</v>
      </c>
    </row>
    <row r="28" customFormat="false" ht="15" hidden="false" customHeight="false" outlineLevel="0" collapsed="false">
      <c r="A28" s="31" t="s">
        <v>407</v>
      </c>
      <c r="B28" s="31" t="s">
        <v>647</v>
      </c>
      <c r="C28" s="31" t="s">
        <v>284</v>
      </c>
      <c r="D28" s="31" t="s">
        <v>333</v>
      </c>
      <c r="E28" s="31" t="n">
        <v>77</v>
      </c>
      <c r="F28" s="31" t="n">
        <v>21</v>
      </c>
      <c r="G28" s="31" t="n">
        <v>6</v>
      </c>
      <c r="H28" s="31" t="n">
        <v>1</v>
      </c>
      <c r="I28" s="31" t="n">
        <v>35</v>
      </c>
      <c r="J28" s="31" t="s">
        <v>621</v>
      </c>
      <c r="K28" s="31" t="s">
        <v>631</v>
      </c>
      <c r="L28" s="31" t="s">
        <v>624</v>
      </c>
    </row>
    <row r="29" customFormat="false" ht="15" hidden="false" customHeight="false" outlineLevel="0" collapsed="false">
      <c r="A29" s="31" t="s">
        <v>408</v>
      </c>
      <c r="B29" s="31" t="s">
        <v>647</v>
      </c>
      <c r="C29" s="31" t="s">
        <v>284</v>
      </c>
      <c r="D29" s="31" t="s">
        <v>650</v>
      </c>
      <c r="E29" s="31" t="n">
        <v>75</v>
      </c>
      <c r="F29" s="31" t="n">
        <v>21</v>
      </c>
      <c r="G29" s="31" t="n">
        <v>6</v>
      </c>
      <c r="H29" s="31" t="n">
        <v>0</v>
      </c>
      <c r="I29" s="31" t="n">
        <v>30</v>
      </c>
      <c r="J29" s="31" t="s">
        <v>621</v>
      </c>
      <c r="K29" s="31" t="s">
        <v>631</v>
      </c>
      <c r="L29" s="31" t="s">
        <v>624</v>
      </c>
    </row>
    <row r="30" customFormat="false" ht="15" hidden="false" customHeight="false" outlineLevel="0" collapsed="false">
      <c r="A30" s="31" t="s">
        <v>409</v>
      </c>
      <c r="B30" s="31" t="s">
        <v>651</v>
      </c>
      <c r="C30" s="31" t="s">
        <v>275</v>
      </c>
      <c r="D30" s="31" t="s">
        <v>320</v>
      </c>
      <c r="E30" s="31" t="n">
        <v>69</v>
      </c>
      <c r="F30" s="31" t="n">
        <v>19</v>
      </c>
      <c r="G30" s="31" t="n">
        <v>6</v>
      </c>
      <c r="H30" s="31" t="n">
        <v>1</v>
      </c>
      <c r="I30" s="31" t="n">
        <v>28</v>
      </c>
      <c r="J30" s="31" t="s">
        <v>621</v>
      </c>
      <c r="K30" s="31" t="s">
        <v>652</v>
      </c>
      <c r="L30" s="31" t="n">
        <v>73</v>
      </c>
    </row>
    <row r="31" customFormat="false" ht="15" hidden="false" customHeight="false" outlineLevel="0" collapsed="false">
      <c r="A31" s="31" t="s">
        <v>410</v>
      </c>
      <c r="B31" s="31" t="s">
        <v>651</v>
      </c>
      <c r="C31" s="31" t="s">
        <v>284</v>
      </c>
      <c r="D31" s="31" t="s">
        <v>340</v>
      </c>
      <c r="E31" s="31" t="n">
        <v>86</v>
      </c>
      <c r="F31" s="31" t="n">
        <v>25</v>
      </c>
      <c r="G31" s="31" t="n">
        <v>7</v>
      </c>
      <c r="H31" s="31" t="n">
        <v>1</v>
      </c>
      <c r="I31" s="31" t="n">
        <v>31</v>
      </c>
      <c r="J31" s="31" t="s">
        <v>621</v>
      </c>
      <c r="K31" s="31" t="s">
        <v>652</v>
      </c>
      <c r="L31" s="31" t="s">
        <v>624</v>
      </c>
    </row>
    <row r="32" customFormat="false" ht="15" hidden="false" customHeight="false" outlineLevel="0" collapsed="false">
      <c r="A32" s="31" t="s">
        <v>411</v>
      </c>
      <c r="B32" s="31" t="s">
        <v>651</v>
      </c>
      <c r="C32" s="31" t="s">
        <v>284</v>
      </c>
      <c r="D32" s="31" t="s">
        <v>653</v>
      </c>
      <c r="E32" s="31" t="n">
        <v>81</v>
      </c>
      <c r="F32" s="31" t="n">
        <v>24</v>
      </c>
      <c r="G32" s="31" t="n">
        <v>7</v>
      </c>
      <c r="H32" s="31" t="n">
        <v>1</v>
      </c>
      <c r="I32" s="31" t="n">
        <v>30</v>
      </c>
      <c r="J32" s="31" t="s">
        <v>621</v>
      </c>
      <c r="K32" s="31" t="s">
        <v>652</v>
      </c>
      <c r="L32" s="31" t="s">
        <v>624</v>
      </c>
    </row>
    <row r="33" customFormat="false" ht="15" hidden="false" customHeight="false" outlineLevel="0" collapsed="false">
      <c r="A33" s="31" t="s">
        <v>412</v>
      </c>
      <c r="B33" s="31" t="s">
        <v>654</v>
      </c>
      <c r="C33" s="31" t="s">
        <v>275</v>
      </c>
      <c r="D33" s="31" t="s">
        <v>346</v>
      </c>
      <c r="E33" s="31" t="n">
        <v>80</v>
      </c>
      <c r="F33" s="31" t="n">
        <v>17</v>
      </c>
      <c r="G33" s="31" t="n">
        <v>6</v>
      </c>
      <c r="H33" s="31" t="n">
        <v>1</v>
      </c>
      <c r="I33" s="31" t="n">
        <v>37</v>
      </c>
      <c r="J33" s="31" t="s">
        <v>621</v>
      </c>
      <c r="K33" s="31" t="s">
        <v>295</v>
      </c>
      <c r="L33" s="31" t="n">
        <v>82</v>
      </c>
    </row>
    <row r="34" customFormat="false" ht="15" hidden="false" customHeight="false" outlineLevel="0" collapsed="false">
      <c r="A34" s="31" t="s">
        <v>413</v>
      </c>
      <c r="B34" s="31" t="s">
        <v>654</v>
      </c>
      <c r="C34" s="31" t="s">
        <v>284</v>
      </c>
      <c r="D34" s="31" t="s">
        <v>655</v>
      </c>
      <c r="E34" s="31" t="n">
        <v>72</v>
      </c>
      <c r="F34" s="31" t="n">
        <v>17</v>
      </c>
      <c r="G34" s="31" t="n">
        <v>5</v>
      </c>
      <c r="H34" s="31" t="n">
        <v>1</v>
      </c>
      <c r="I34" s="31" t="n">
        <v>30</v>
      </c>
      <c r="J34" s="31" t="s">
        <v>621</v>
      </c>
      <c r="K34" s="31" t="s">
        <v>295</v>
      </c>
      <c r="L34" s="31" t="s">
        <v>624</v>
      </c>
    </row>
    <row r="35" customFormat="false" ht="15" hidden="false" customHeight="false" outlineLevel="0" collapsed="false">
      <c r="A35" s="31" t="s">
        <v>414</v>
      </c>
      <c r="B35" s="31" t="s">
        <v>654</v>
      </c>
      <c r="C35" s="31" t="s">
        <v>284</v>
      </c>
      <c r="D35" s="31" t="s">
        <v>656</v>
      </c>
      <c r="E35" s="31" t="n">
        <v>78</v>
      </c>
      <c r="F35" s="31" t="n">
        <v>19</v>
      </c>
      <c r="G35" s="31" t="n">
        <v>5</v>
      </c>
      <c r="H35" s="31" t="n">
        <v>1</v>
      </c>
      <c r="I35" s="31" t="n">
        <v>35</v>
      </c>
      <c r="J35" s="31" t="s">
        <v>621</v>
      </c>
      <c r="K35" s="31" t="s">
        <v>295</v>
      </c>
      <c r="L35" s="31" t="s">
        <v>624</v>
      </c>
    </row>
    <row r="36" customFormat="false" ht="15" hidden="false" customHeight="false" outlineLevel="0" collapsed="false">
      <c r="A36" s="31" t="s">
        <v>415</v>
      </c>
      <c r="B36" s="31" t="s">
        <v>657</v>
      </c>
      <c r="C36" s="31" t="s">
        <v>275</v>
      </c>
      <c r="D36" s="31" t="s">
        <v>336</v>
      </c>
      <c r="E36" s="31" t="n">
        <v>67</v>
      </c>
      <c r="F36" s="31" t="n">
        <v>19</v>
      </c>
      <c r="G36" s="31" t="n">
        <v>5</v>
      </c>
      <c r="H36" s="31" t="n">
        <v>1</v>
      </c>
      <c r="I36" s="31" t="n">
        <v>28</v>
      </c>
      <c r="J36" s="31" t="s">
        <v>621</v>
      </c>
      <c r="K36" s="31" t="s">
        <v>645</v>
      </c>
      <c r="L36" s="31" t="n">
        <v>71</v>
      </c>
    </row>
    <row r="37" customFormat="false" ht="15" hidden="false" customHeight="false" outlineLevel="0" collapsed="false">
      <c r="A37" s="31" t="s">
        <v>416</v>
      </c>
      <c r="B37" s="31" t="s">
        <v>657</v>
      </c>
      <c r="C37" s="31" t="s">
        <v>284</v>
      </c>
      <c r="D37" s="31" t="s">
        <v>658</v>
      </c>
      <c r="E37" s="31" t="n">
        <v>67</v>
      </c>
      <c r="F37" s="31" t="n">
        <v>19</v>
      </c>
      <c r="G37" s="31" t="n">
        <v>5</v>
      </c>
      <c r="H37" s="31" t="n">
        <v>1</v>
      </c>
      <c r="I37" s="31" t="n">
        <v>27</v>
      </c>
      <c r="J37" s="31" t="s">
        <v>621</v>
      </c>
      <c r="K37" s="31" t="s">
        <v>645</v>
      </c>
      <c r="L37" s="31" t="s">
        <v>624</v>
      </c>
    </row>
    <row r="38" customFormat="false" ht="15" hidden="false" customHeight="false" outlineLevel="0" collapsed="false">
      <c r="A38" s="31" t="s">
        <v>417</v>
      </c>
      <c r="B38" s="31" t="s">
        <v>657</v>
      </c>
      <c r="C38" s="31" t="s">
        <v>284</v>
      </c>
      <c r="D38" s="31" t="s">
        <v>659</v>
      </c>
      <c r="E38" s="31" t="n">
        <v>79</v>
      </c>
      <c r="F38" s="31" t="n">
        <v>25</v>
      </c>
      <c r="G38" s="31" t="n">
        <v>5</v>
      </c>
      <c r="H38" s="31" t="n">
        <v>0</v>
      </c>
      <c r="I38" s="31" t="n">
        <v>29</v>
      </c>
      <c r="J38" s="31" t="s">
        <v>621</v>
      </c>
      <c r="K38" s="31" t="s">
        <v>645</v>
      </c>
      <c r="L38" s="31" t="s">
        <v>624</v>
      </c>
    </row>
    <row r="39" customFormat="false" ht="15" hidden="false" customHeight="false" outlineLevel="0" collapsed="false">
      <c r="A39" s="31" t="s">
        <v>418</v>
      </c>
      <c r="B39" s="31" t="s">
        <v>660</v>
      </c>
      <c r="C39" s="31" t="s">
        <v>275</v>
      </c>
      <c r="D39" s="31" t="s">
        <v>360</v>
      </c>
      <c r="E39" s="31" t="n">
        <v>92</v>
      </c>
      <c r="F39" s="31" t="n">
        <v>19</v>
      </c>
      <c r="G39" s="31" t="n">
        <v>6</v>
      </c>
      <c r="H39" s="31" t="n">
        <v>1</v>
      </c>
      <c r="I39" s="31" t="n">
        <v>47</v>
      </c>
      <c r="J39" s="31" t="s">
        <v>621</v>
      </c>
      <c r="K39" s="31" t="s">
        <v>303</v>
      </c>
      <c r="L39" s="31" t="n">
        <v>95</v>
      </c>
    </row>
    <row r="40" customFormat="false" ht="15" hidden="false" customHeight="false" outlineLevel="0" collapsed="false">
      <c r="A40" s="31" t="s">
        <v>419</v>
      </c>
      <c r="B40" s="31" t="s">
        <v>660</v>
      </c>
      <c r="C40" s="31" t="s">
        <v>284</v>
      </c>
      <c r="D40" s="31" t="s">
        <v>661</v>
      </c>
      <c r="E40" s="31" t="n">
        <v>81</v>
      </c>
      <c r="F40" s="31" t="n">
        <v>21</v>
      </c>
      <c r="G40" s="31" t="n">
        <v>5</v>
      </c>
      <c r="H40" s="31" t="n">
        <v>1</v>
      </c>
      <c r="I40" s="31" t="n">
        <v>35</v>
      </c>
      <c r="J40" s="31" t="s">
        <v>621</v>
      </c>
      <c r="K40" s="31" t="s">
        <v>303</v>
      </c>
      <c r="L40" s="31" t="s">
        <v>624</v>
      </c>
    </row>
    <row r="41" customFormat="false" ht="15" hidden="false" customHeight="false" outlineLevel="0" collapsed="false">
      <c r="A41" s="31" t="s">
        <v>420</v>
      </c>
      <c r="B41" s="31" t="s">
        <v>660</v>
      </c>
      <c r="C41" s="31" t="s">
        <v>284</v>
      </c>
      <c r="D41" s="31" t="s">
        <v>662</v>
      </c>
      <c r="E41" s="31" t="n">
        <v>79</v>
      </c>
      <c r="F41" s="31" t="n">
        <v>16</v>
      </c>
      <c r="G41" s="31" t="n">
        <v>5</v>
      </c>
      <c r="H41" s="31" t="n">
        <v>0</v>
      </c>
      <c r="I41" s="31" t="n">
        <v>40</v>
      </c>
      <c r="J41" s="31" t="s">
        <v>621</v>
      </c>
      <c r="K41" s="31" t="s">
        <v>303</v>
      </c>
      <c r="L41" s="31" t="s">
        <v>624</v>
      </c>
    </row>
    <row r="42" customFormat="false" ht="15" hidden="false" customHeight="false" outlineLevel="0" collapsed="false">
      <c r="A42" s="31" t="s">
        <v>421</v>
      </c>
      <c r="B42" s="31" t="s">
        <v>663</v>
      </c>
      <c r="C42" s="31" t="s">
        <v>275</v>
      </c>
      <c r="D42" s="31" t="s">
        <v>664</v>
      </c>
      <c r="E42" s="31" t="n">
        <v>67</v>
      </c>
      <c r="F42" s="31" t="n">
        <v>14</v>
      </c>
      <c r="G42" s="31" t="n">
        <v>6</v>
      </c>
      <c r="H42" s="31" t="n">
        <v>1</v>
      </c>
      <c r="I42" s="31" t="n">
        <v>29</v>
      </c>
      <c r="J42" s="31" t="s">
        <v>621</v>
      </c>
      <c r="K42" s="31" t="s">
        <v>665</v>
      </c>
      <c r="L42" s="31" t="n">
        <v>71</v>
      </c>
    </row>
    <row r="43" customFormat="false" ht="15" hidden="false" customHeight="false" outlineLevel="0" collapsed="false">
      <c r="A43" s="31" t="s">
        <v>422</v>
      </c>
      <c r="B43" s="31" t="s">
        <v>663</v>
      </c>
      <c r="C43" s="31" t="s">
        <v>284</v>
      </c>
      <c r="D43" s="31" t="s">
        <v>666</v>
      </c>
      <c r="E43" s="31" t="n">
        <v>73</v>
      </c>
      <c r="F43" s="31" t="n">
        <v>22</v>
      </c>
      <c r="G43" s="31" t="n">
        <v>7</v>
      </c>
      <c r="H43" s="31" t="n">
        <v>1</v>
      </c>
      <c r="I43" s="31" t="n">
        <v>23</v>
      </c>
      <c r="J43" s="31" t="s">
        <v>621</v>
      </c>
      <c r="K43" s="31" t="s">
        <v>665</v>
      </c>
      <c r="L43" s="31" t="s">
        <v>624</v>
      </c>
    </row>
    <row r="44" customFormat="false" ht="15" hidden="false" customHeight="false" outlineLevel="0" collapsed="false">
      <c r="A44" s="31" t="s">
        <v>423</v>
      </c>
      <c r="B44" s="31" t="s">
        <v>663</v>
      </c>
      <c r="C44" s="31" t="s">
        <v>284</v>
      </c>
      <c r="D44" s="31" t="s">
        <v>667</v>
      </c>
      <c r="E44" s="31" t="n">
        <v>67</v>
      </c>
      <c r="F44" s="31" t="n">
        <v>22</v>
      </c>
      <c r="G44" s="31" t="n">
        <v>6</v>
      </c>
      <c r="H44" s="31" t="n">
        <v>1</v>
      </c>
      <c r="I44" s="31" t="n">
        <v>22</v>
      </c>
      <c r="J44" s="31" t="s">
        <v>621</v>
      </c>
      <c r="K44" s="31" t="s">
        <v>665</v>
      </c>
      <c r="L44" s="31" t="s">
        <v>624</v>
      </c>
    </row>
    <row r="45" customFormat="false" ht="15" hidden="false" customHeight="false" outlineLevel="0" collapsed="false">
      <c r="A45" s="31" t="s">
        <v>424</v>
      </c>
      <c r="B45" s="31" t="s">
        <v>668</v>
      </c>
      <c r="C45" s="31" t="s">
        <v>275</v>
      </c>
      <c r="D45" s="31" t="s">
        <v>669</v>
      </c>
      <c r="E45" s="31" t="n">
        <v>76</v>
      </c>
      <c r="F45" s="31" t="n">
        <v>19</v>
      </c>
      <c r="G45" s="31" t="n">
        <v>6</v>
      </c>
      <c r="H45" s="31" t="n">
        <v>1</v>
      </c>
      <c r="I45" s="31" t="n">
        <v>36</v>
      </c>
      <c r="J45" s="31" t="s">
        <v>621</v>
      </c>
      <c r="K45" s="31" t="s">
        <v>670</v>
      </c>
      <c r="L45" s="31" t="n">
        <v>83</v>
      </c>
    </row>
    <row r="46" customFormat="false" ht="15" hidden="false" customHeight="false" outlineLevel="0" collapsed="false">
      <c r="A46" s="31" t="s">
        <v>425</v>
      </c>
      <c r="B46" s="31" t="s">
        <v>668</v>
      </c>
      <c r="C46" s="31" t="s">
        <v>284</v>
      </c>
      <c r="D46" s="31" t="s">
        <v>671</v>
      </c>
      <c r="E46" s="31" t="n">
        <v>74</v>
      </c>
      <c r="F46" s="31" t="n">
        <v>18</v>
      </c>
      <c r="G46" s="31" t="n">
        <v>6</v>
      </c>
      <c r="H46" s="31" t="n">
        <v>1</v>
      </c>
      <c r="I46" s="31" t="n">
        <v>31</v>
      </c>
      <c r="J46" s="31" t="s">
        <v>621</v>
      </c>
      <c r="K46" s="31" t="s">
        <v>670</v>
      </c>
      <c r="L46" s="31" t="s">
        <v>624</v>
      </c>
    </row>
    <row r="47" customFormat="false" ht="15" hidden="false" customHeight="false" outlineLevel="0" collapsed="false">
      <c r="A47" s="31" t="s">
        <v>426</v>
      </c>
      <c r="B47" s="31" t="s">
        <v>668</v>
      </c>
      <c r="C47" s="31" t="s">
        <v>284</v>
      </c>
      <c r="D47" s="31" t="s">
        <v>672</v>
      </c>
      <c r="E47" s="31" t="n">
        <v>81</v>
      </c>
      <c r="F47" s="31" t="n">
        <v>16</v>
      </c>
      <c r="G47" s="31" t="n">
        <v>5</v>
      </c>
      <c r="H47" s="31" t="n">
        <v>1</v>
      </c>
      <c r="I47" s="31" t="n">
        <v>45</v>
      </c>
      <c r="J47" s="31" t="s">
        <v>621</v>
      </c>
      <c r="K47" s="31" t="s">
        <v>670</v>
      </c>
      <c r="L47" s="31" t="s">
        <v>624</v>
      </c>
    </row>
    <row r="48" customFormat="false" ht="15" hidden="false" customHeight="false" outlineLevel="0" collapsed="false">
      <c r="A48" s="31" t="s">
        <v>427</v>
      </c>
      <c r="B48" s="31" t="s">
        <v>673</v>
      </c>
      <c r="C48" s="31" t="s">
        <v>275</v>
      </c>
      <c r="D48" s="31" t="s">
        <v>674</v>
      </c>
      <c r="E48" s="31" t="n">
        <v>76</v>
      </c>
      <c r="F48" s="31" t="n">
        <v>20</v>
      </c>
      <c r="G48" s="31" t="n">
        <v>6</v>
      </c>
      <c r="H48" s="31" t="n">
        <v>1</v>
      </c>
      <c r="I48" s="31" t="n">
        <v>30</v>
      </c>
      <c r="J48" s="31" t="s">
        <v>621</v>
      </c>
      <c r="K48" s="31" t="s">
        <v>675</v>
      </c>
      <c r="L48" s="31" t="n">
        <v>83</v>
      </c>
    </row>
    <row r="49" customFormat="false" ht="15" hidden="false" customHeight="false" outlineLevel="0" collapsed="false">
      <c r="A49" s="31" t="s">
        <v>428</v>
      </c>
      <c r="B49" s="31" t="s">
        <v>673</v>
      </c>
      <c r="C49" s="31" t="s">
        <v>284</v>
      </c>
      <c r="D49" s="31" t="s">
        <v>676</v>
      </c>
      <c r="E49" s="31" t="n">
        <v>85</v>
      </c>
      <c r="F49" s="31" t="n">
        <v>26</v>
      </c>
      <c r="G49" s="31" t="n">
        <v>8</v>
      </c>
      <c r="H49" s="31" t="n">
        <v>1</v>
      </c>
      <c r="I49" s="31" t="n">
        <v>26</v>
      </c>
      <c r="J49" s="31" t="s">
        <v>621</v>
      </c>
      <c r="K49" s="31" t="s">
        <v>675</v>
      </c>
      <c r="L49" s="31" t="s">
        <v>624</v>
      </c>
    </row>
    <row r="50" customFormat="false" ht="15" hidden="false" customHeight="false" outlineLevel="0" collapsed="false">
      <c r="A50" s="31" t="s">
        <v>429</v>
      </c>
      <c r="B50" s="31" t="s">
        <v>673</v>
      </c>
      <c r="C50" s="31" t="s">
        <v>284</v>
      </c>
      <c r="D50" s="31" t="s">
        <v>677</v>
      </c>
      <c r="E50" s="31" t="n">
        <v>70</v>
      </c>
      <c r="F50" s="31" t="n">
        <v>21</v>
      </c>
      <c r="G50" s="31" t="n">
        <v>7</v>
      </c>
      <c r="H50" s="31" t="n">
        <v>1</v>
      </c>
      <c r="I50" s="31" t="n">
        <v>26</v>
      </c>
      <c r="J50" s="31" t="s">
        <v>621</v>
      </c>
      <c r="K50" s="31" t="s">
        <v>675</v>
      </c>
      <c r="L50" s="31" t="s">
        <v>624</v>
      </c>
    </row>
    <row r="52" customFormat="false" ht="17.35" hidden="false" customHeight="false" outlineLevel="0" collapsed="false">
      <c r="A52" s="17" t="s">
        <v>678</v>
      </c>
    </row>
    <row r="53" customFormat="false" ht="39.55" hidden="false" customHeight="false" outlineLevel="0" collapsed="false">
      <c r="A53" s="19" t="s">
        <v>679</v>
      </c>
      <c r="B53" s="19"/>
      <c r="C53" s="19"/>
      <c r="D53" s="19"/>
      <c r="E53" s="19" t="s">
        <v>611</v>
      </c>
      <c r="F53" s="19" t="s">
        <v>612</v>
      </c>
      <c r="G53" s="19" t="s">
        <v>613</v>
      </c>
      <c r="H53" s="19" t="s">
        <v>614</v>
      </c>
      <c r="I53" s="19" t="s">
        <v>615</v>
      </c>
      <c r="J53" s="19"/>
      <c r="K53" s="19"/>
      <c r="L53" s="19" t="s">
        <v>680</v>
      </c>
    </row>
    <row r="54" customFormat="false" ht="15" hidden="false" customHeight="false" outlineLevel="0" collapsed="false">
      <c r="A54" s="5" t="s">
        <v>681</v>
      </c>
      <c r="E54" s="34" t="n">
        <f aca="false">MEDIAN(E5:E50)</f>
        <v>77</v>
      </c>
      <c r="F54" s="34" t="n">
        <f aca="false">MEDIAN(F5:F50)</f>
        <v>19.5</v>
      </c>
      <c r="G54" s="34" t="n">
        <f aca="false">MEDIAN(G5:G50)</f>
        <v>6</v>
      </c>
      <c r="H54" s="34" t="n">
        <f aca="false">MEDIAN(H5:H50)</f>
        <v>1</v>
      </c>
      <c r="I54" s="34" t="n">
        <f aca="false">MEDIAN(I5:I50)</f>
        <v>31.5</v>
      </c>
      <c r="L54" s="34" t="n">
        <f aca="false">MEDIAN(L5:L50)</f>
        <v>79</v>
      </c>
    </row>
    <row r="55" customFormat="false" ht="15" hidden="false" customHeight="false" outlineLevel="0" collapsed="false">
      <c r="A55" s="5" t="s">
        <v>682</v>
      </c>
      <c r="E55" s="34" t="n">
        <f aca="false">MIN(E5:E50)</f>
        <v>58</v>
      </c>
      <c r="F55" s="34" t="n">
        <f aca="false">MIN(F5:F50)</f>
        <v>14</v>
      </c>
      <c r="G55" s="34" t="n">
        <f aca="false">MIN(G5:G50)</f>
        <v>4</v>
      </c>
      <c r="H55" s="34" t="n">
        <f aca="false">MIN(H5:H50)</f>
        <v>0</v>
      </c>
      <c r="I55" s="34" t="n">
        <f aca="false">MIN(I5:I50)</f>
        <v>18</v>
      </c>
      <c r="L55" s="34" t="n">
        <f aca="false">MIN(L5:L50)</f>
        <v>71</v>
      </c>
    </row>
    <row r="56" customFormat="false" ht="15" hidden="false" customHeight="false" outlineLevel="0" collapsed="false">
      <c r="A56" s="5" t="s">
        <v>683</v>
      </c>
      <c r="E56" s="34" t="n">
        <f aca="false">MAX(E5:E50)</f>
        <v>184</v>
      </c>
      <c r="F56" s="34" t="n">
        <f aca="false">MAX(F5:F50)</f>
        <v>26</v>
      </c>
      <c r="G56" s="34" t="n">
        <f aca="false">MAX(G5:G50)</f>
        <v>9</v>
      </c>
      <c r="H56" s="34" t="n">
        <f aca="false">MAX(H5:H50)</f>
        <v>1</v>
      </c>
      <c r="I56" s="34" t="n">
        <f aca="false">MAX(I5:I50)</f>
        <v>131</v>
      </c>
      <c r="L56" s="34" t="n">
        <f aca="false">MAX(L5:L50)</f>
        <v>95</v>
      </c>
    </row>
    <row r="57" customFormat="false" ht="15" hidden="false" customHeight="false" outlineLevel="0" collapsed="false">
      <c r="A57" s="5" t="s">
        <v>684</v>
      </c>
      <c r="E57" s="34" t="n">
        <f aca="false">AVERAGE(E5:E50)</f>
        <v>79.0869565217391</v>
      </c>
      <c r="F57" s="34" t="n">
        <f aca="false">AVERAGE(F5:F50)</f>
        <v>20.0652173913043</v>
      </c>
      <c r="G57" s="34" t="n">
        <f aca="false">AVERAGE(G5:G50)</f>
        <v>6.04347826086957</v>
      </c>
      <c r="H57" s="34" t="n">
        <f aca="false">AVERAGE(H5:H50)</f>
        <v>0.891304347826087</v>
      </c>
      <c r="I57" s="34" t="n">
        <f aca="false">AVERAGE(I5:I50)</f>
        <v>34.7608695652174</v>
      </c>
      <c r="L57" s="34" t="n">
        <f aca="false">AVERAGE(L5:L50)</f>
        <v>79.3333333333333</v>
      </c>
    </row>
    <row r="58" customFormat="false" ht="15" hidden="false" customHeight="false" outlineLevel="0" collapsed="false">
      <c r="A58" s="5" t="s">
        <v>685</v>
      </c>
      <c r="E58" s="1" t="n">
        <f aca="false">COUNT(E5:E50)</f>
        <v>46</v>
      </c>
    </row>
    <row r="59" customFormat="false" ht="15" hidden="false" customHeight="false" outlineLevel="0" collapsed="false">
      <c r="A59" s="5" t="s">
        <v>686</v>
      </c>
      <c r="E59" s="26"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22"/>
    <col collapsed="false" customWidth="true" hidden="false" outlineLevel="0" max="5" min="4" style="0" width="34"/>
    <col collapsed="false" customWidth="true" hidden="false" outlineLevel="0" max="6" min="6" style="0" width="13"/>
    <col collapsed="false" customWidth="true" hidden="false" outlineLevel="0" max="7" min="7" style="0" width="9"/>
    <col collapsed="false" customWidth="true" hidden="false" outlineLevel="0" max="8" min="8" style="0" width="6"/>
    <col collapsed="false" customWidth="true" hidden="false" outlineLevel="0" max="9" min="9" style="0" width="13"/>
    <col collapsed="false" customWidth="true" hidden="false" outlineLevel="0" max="10" min="10" style="0" width="9"/>
    <col collapsed="false" customWidth="true" hidden="false" outlineLevel="0" max="11" min="11" style="0" width="26"/>
    <col collapsed="false" customWidth="true" hidden="false" outlineLevel="0" max="12" min="12" style="0" width="24"/>
    <col collapsed="false" customWidth="true" hidden="false" outlineLevel="0" max="13" min="13" style="0" width="44"/>
    <col collapsed="false" customWidth="true" hidden="false" outlineLevel="0" max="14" min="14" style="0" width="12"/>
    <col collapsed="false" customWidth="true" hidden="false" outlineLevel="0" max="15" min="15" style="0" width="11"/>
    <col collapsed="false" customWidth="true" hidden="false" outlineLevel="0" max="16" min="16" style="0" width="10"/>
  </cols>
  <sheetData>
    <row r="1" customFormat="false" ht="17.35" hidden="false" customHeight="false" outlineLevel="0" collapsed="false">
      <c r="A1" s="17" t="s">
        <v>687</v>
      </c>
    </row>
    <row r="2" customFormat="false" ht="75" hidden="false" customHeight="true" outlineLevel="0" collapsed="false">
      <c r="A2" s="18" t="s">
        <v>688</v>
      </c>
      <c r="B2" s="18"/>
      <c r="C2" s="18"/>
      <c r="D2" s="18"/>
      <c r="E2" s="18"/>
      <c r="F2" s="18"/>
      <c r="G2" s="18"/>
      <c r="H2" s="18"/>
      <c r="I2" s="18"/>
      <c r="J2" s="18"/>
      <c r="K2" s="18"/>
      <c r="L2" s="18"/>
      <c r="M2" s="18"/>
      <c r="N2" s="18"/>
      <c r="O2" s="18"/>
      <c r="P2" s="18"/>
    </row>
    <row r="4" customFormat="false" ht="52.2" hidden="false" customHeight="false" outlineLevel="0" collapsed="false">
      <c r="A4" s="19" t="s">
        <v>185</v>
      </c>
      <c r="B4" s="19" t="s">
        <v>689</v>
      </c>
      <c r="C4" s="19" t="s">
        <v>690</v>
      </c>
      <c r="D4" s="19" t="s">
        <v>691</v>
      </c>
      <c r="E4" s="19" t="s">
        <v>692</v>
      </c>
      <c r="F4" s="19" t="s">
        <v>609</v>
      </c>
      <c r="G4" s="19" t="s">
        <v>267</v>
      </c>
      <c r="H4" s="19" t="s">
        <v>263</v>
      </c>
      <c r="I4" s="19" t="s">
        <v>264</v>
      </c>
      <c r="J4" s="19" t="s">
        <v>693</v>
      </c>
      <c r="K4" s="19" t="s">
        <v>694</v>
      </c>
      <c r="L4" s="19" t="s">
        <v>695</v>
      </c>
      <c r="M4" s="19" t="s">
        <v>696</v>
      </c>
      <c r="N4" s="19" t="s">
        <v>697</v>
      </c>
      <c r="O4" s="19" t="s">
        <v>698</v>
      </c>
      <c r="P4" s="19" t="s">
        <v>699</v>
      </c>
    </row>
    <row r="5" customFormat="false" ht="48" hidden="false" customHeight="true" outlineLevel="0" collapsed="false">
      <c r="A5" s="31" t="s">
        <v>45</v>
      </c>
      <c r="B5" s="31" t="s">
        <v>700</v>
      </c>
      <c r="C5" s="8" t="s">
        <v>701</v>
      </c>
      <c r="D5" s="8" t="s">
        <v>702</v>
      </c>
      <c r="E5" s="8" t="s">
        <v>703</v>
      </c>
      <c r="F5" s="31" t="s">
        <v>704</v>
      </c>
      <c r="G5" s="31" t="s">
        <v>705</v>
      </c>
      <c r="H5" s="31" t="n">
        <v>85</v>
      </c>
      <c r="I5" s="31" t="s">
        <v>706</v>
      </c>
      <c r="J5" s="31" t="s">
        <v>707</v>
      </c>
      <c r="K5" s="8" t="s">
        <v>708</v>
      </c>
      <c r="L5" s="8" t="s">
        <v>709</v>
      </c>
      <c r="M5" s="8" t="s">
        <v>710</v>
      </c>
      <c r="N5" s="8" t="s">
        <v>523</v>
      </c>
      <c r="O5" s="31" t="s">
        <v>711</v>
      </c>
      <c r="P5" s="31" t="s">
        <v>712</v>
      </c>
    </row>
    <row r="6" customFormat="false" ht="48" hidden="false" customHeight="true" outlineLevel="0" collapsed="false">
      <c r="A6" s="31" t="s">
        <v>45</v>
      </c>
      <c r="B6" s="31" t="s">
        <v>713</v>
      </c>
      <c r="C6" s="8" t="s">
        <v>714</v>
      </c>
      <c r="D6" s="8" t="s">
        <v>715</v>
      </c>
      <c r="E6" s="8" t="s">
        <v>716</v>
      </c>
      <c r="F6" s="31" t="s">
        <v>717</v>
      </c>
      <c r="G6" s="31" t="s">
        <v>718</v>
      </c>
      <c r="H6" s="31" t="n">
        <v>98</v>
      </c>
      <c r="I6" s="31" t="s">
        <v>719</v>
      </c>
      <c r="J6" s="31" t="s">
        <v>707</v>
      </c>
      <c r="K6" s="8" t="s">
        <v>720</v>
      </c>
      <c r="L6" s="8" t="s">
        <v>721</v>
      </c>
      <c r="M6" s="8" t="s">
        <v>722</v>
      </c>
      <c r="N6" s="8" t="s">
        <v>523</v>
      </c>
      <c r="O6" s="31" t="s">
        <v>711</v>
      </c>
      <c r="P6" s="31" t="s">
        <v>523</v>
      </c>
    </row>
    <row r="7" customFormat="false" ht="48" hidden="false" customHeight="true" outlineLevel="0" collapsed="false">
      <c r="A7" s="31" t="s">
        <v>58</v>
      </c>
      <c r="B7" s="31" t="s">
        <v>700</v>
      </c>
      <c r="C7" s="8" t="s">
        <v>723</v>
      </c>
      <c r="D7" s="8" t="s">
        <v>702</v>
      </c>
      <c r="E7" s="8" t="s">
        <v>724</v>
      </c>
      <c r="F7" s="31" t="s">
        <v>725</v>
      </c>
      <c r="G7" s="31" t="s">
        <v>726</v>
      </c>
      <c r="H7" s="31" t="n">
        <v>86</v>
      </c>
      <c r="I7" s="31" t="s">
        <v>727</v>
      </c>
      <c r="J7" s="31" t="s">
        <v>707</v>
      </c>
      <c r="K7" s="8" t="s">
        <v>728</v>
      </c>
      <c r="L7" s="8" t="s">
        <v>729</v>
      </c>
      <c r="M7" s="8" t="s">
        <v>730</v>
      </c>
      <c r="N7" s="8" t="s">
        <v>523</v>
      </c>
      <c r="O7" s="31" t="s">
        <v>711</v>
      </c>
      <c r="P7" s="31" t="s">
        <v>712</v>
      </c>
    </row>
    <row r="8" customFormat="false" ht="48" hidden="false" customHeight="true" outlineLevel="0" collapsed="false">
      <c r="A8" s="31" t="s">
        <v>58</v>
      </c>
      <c r="B8" s="31" t="s">
        <v>713</v>
      </c>
      <c r="C8" s="8" t="s">
        <v>714</v>
      </c>
      <c r="D8" s="8" t="s">
        <v>731</v>
      </c>
      <c r="E8" s="8" t="s">
        <v>716</v>
      </c>
      <c r="F8" s="31" t="s">
        <v>732</v>
      </c>
      <c r="G8" s="31" t="s">
        <v>733</v>
      </c>
      <c r="H8" s="31" t="n">
        <v>99</v>
      </c>
      <c r="I8" s="31" t="s">
        <v>734</v>
      </c>
      <c r="J8" s="31" t="s">
        <v>707</v>
      </c>
      <c r="K8" s="8" t="s">
        <v>720</v>
      </c>
      <c r="L8" s="8" t="s">
        <v>721</v>
      </c>
      <c r="M8" s="8" t="s">
        <v>735</v>
      </c>
      <c r="N8" s="8" t="s">
        <v>523</v>
      </c>
      <c r="O8" s="31" t="s">
        <v>711</v>
      </c>
      <c r="P8" s="31" t="s">
        <v>523</v>
      </c>
    </row>
    <row r="9" customFormat="false" ht="48" hidden="false" customHeight="true" outlineLevel="0" collapsed="false">
      <c r="A9" s="31" t="s">
        <v>68</v>
      </c>
      <c r="B9" s="31" t="s">
        <v>700</v>
      </c>
      <c r="C9" s="8" t="s">
        <v>736</v>
      </c>
      <c r="D9" s="8" t="s">
        <v>702</v>
      </c>
      <c r="E9" s="8" t="s">
        <v>737</v>
      </c>
      <c r="F9" s="31" t="s">
        <v>738</v>
      </c>
      <c r="G9" s="31" t="s">
        <v>739</v>
      </c>
      <c r="H9" s="31" t="n">
        <v>87</v>
      </c>
      <c r="I9" s="31" t="s">
        <v>740</v>
      </c>
      <c r="J9" s="31" t="s">
        <v>707</v>
      </c>
      <c r="K9" s="8" t="s">
        <v>741</v>
      </c>
      <c r="L9" s="8" t="s">
        <v>742</v>
      </c>
      <c r="M9" s="8" t="s">
        <v>743</v>
      </c>
      <c r="N9" s="8" t="s">
        <v>523</v>
      </c>
      <c r="O9" s="31" t="s">
        <v>711</v>
      </c>
      <c r="P9" s="31" t="s">
        <v>523</v>
      </c>
    </row>
    <row r="10" customFormat="false" ht="48" hidden="false" customHeight="true" outlineLevel="0" collapsed="false">
      <c r="A10" s="31" t="s">
        <v>68</v>
      </c>
      <c r="B10" s="31" t="s">
        <v>713</v>
      </c>
      <c r="C10" s="8" t="s">
        <v>714</v>
      </c>
      <c r="D10" s="8" t="s">
        <v>731</v>
      </c>
      <c r="E10" s="8" t="s">
        <v>716</v>
      </c>
      <c r="F10" s="31" t="s">
        <v>744</v>
      </c>
      <c r="G10" s="31" t="s">
        <v>745</v>
      </c>
      <c r="H10" s="31" t="n">
        <v>100</v>
      </c>
      <c r="I10" s="31" t="s">
        <v>746</v>
      </c>
      <c r="J10" s="31" t="s">
        <v>707</v>
      </c>
      <c r="K10" s="8" t="s">
        <v>720</v>
      </c>
      <c r="L10" s="8" t="s">
        <v>721</v>
      </c>
      <c r="M10" s="8" t="s">
        <v>747</v>
      </c>
      <c r="N10" s="8" t="s">
        <v>523</v>
      </c>
      <c r="O10" s="31" t="s">
        <v>711</v>
      </c>
      <c r="P10" s="31" t="s">
        <v>523</v>
      </c>
    </row>
    <row r="11" customFormat="false" ht="48" hidden="false" customHeight="true" outlineLevel="0" collapsed="false">
      <c r="A11" s="31" t="s">
        <v>78</v>
      </c>
      <c r="B11" s="31" t="s">
        <v>700</v>
      </c>
      <c r="C11" s="8" t="s">
        <v>748</v>
      </c>
      <c r="D11" s="8" t="s">
        <v>749</v>
      </c>
      <c r="E11" s="8" t="s">
        <v>750</v>
      </c>
      <c r="F11" s="31" t="s">
        <v>751</v>
      </c>
      <c r="G11" s="31" t="s">
        <v>752</v>
      </c>
      <c r="H11" s="31" t="n">
        <v>88</v>
      </c>
      <c r="I11" s="31" t="s">
        <v>753</v>
      </c>
      <c r="J11" s="31" t="s">
        <v>707</v>
      </c>
      <c r="K11" s="8" t="s">
        <v>754</v>
      </c>
      <c r="L11" s="8" t="s">
        <v>721</v>
      </c>
      <c r="M11" s="8" t="s">
        <v>735</v>
      </c>
      <c r="N11" s="8" t="s">
        <v>523</v>
      </c>
      <c r="O11" s="31" t="s">
        <v>755</v>
      </c>
      <c r="P11" s="31" t="s">
        <v>523</v>
      </c>
    </row>
    <row r="12" customFormat="false" ht="48" hidden="false" customHeight="true" outlineLevel="0" collapsed="false">
      <c r="A12" s="31" t="s">
        <v>87</v>
      </c>
      <c r="B12" s="31" t="s">
        <v>700</v>
      </c>
      <c r="C12" s="8" t="s">
        <v>756</v>
      </c>
      <c r="D12" s="8" t="s">
        <v>757</v>
      </c>
      <c r="E12" s="8" t="s">
        <v>758</v>
      </c>
      <c r="F12" s="31" t="s">
        <v>759</v>
      </c>
      <c r="G12" s="31" t="s">
        <v>760</v>
      </c>
      <c r="H12" s="31" t="n">
        <v>89</v>
      </c>
      <c r="I12" s="31" t="s">
        <v>761</v>
      </c>
      <c r="J12" s="31" t="s">
        <v>707</v>
      </c>
      <c r="K12" s="8" t="s">
        <v>762</v>
      </c>
      <c r="L12" s="8" t="s">
        <v>721</v>
      </c>
      <c r="M12" s="8" t="s">
        <v>735</v>
      </c>
      <c r="N12" s="8" t="s">
        <v>523</v>
      </c>
      <c r="O12" s="31" t="s">
        <v>755</v>
      </c>
      <c r="P12" s="31" t="s">
        <v>523</v>
      </c>
    </row>
    <row r="13" customFormat="false" ht="48" hidden="false" customHeight="true" outlineLevel="0" collapsed="false">
      <c r="A13" s="31" t="s">
        <v>96</v>
      </c>
      <c r="B13" s="31" t="s">
        <v>700</v>
      </c>
      <c r="C13" s="8" t="s">
        <v>763</v>
      </c>
      <c r="D13" s="8" t="s">
        <v>764</v>
      </c>
      <c r="E13" s="8" t="s">
        <v>765</v>
      </c>
      <c r="F13" s="31" t="s">
        <v>766</v>
      </c>
      <c r="G13" s="31" t="s">
        <v>767</v>
      </c>
      <c r="H13" s="31" t="n">
        <v>90</v>
      </c>
      <c r="I13" s="31" t="s">
        <v>768</v>
      </c>
      <c r="J13" s="31" t="s">
        <v>707</v>
      </c>
      <c r="K13" s="8" t="s">
        <v>769</v>
      </c>
      <c r="L13" s="8" t="s">
        <v>770</v>
      </c>
      <c r="M13" s="8" t="s">
        <v>771</v>
      </c>
      <c r="N13" s="8" t="s">
        <v>523</v>
      </c>
      <c r="O13" s="31" t="s">
        <v>772</v>
      </c>
      <c r="P13" s="31" t="s">
        <v>773</v>
      </c>
    </row>
    <row r="14" customFormat="false" ht="48" hidden="false" customHeight="true" outlineLevel="0" collapsed="false">
      <c r="A14" s="31" t="s">
        <v>106</v>
      </c>
      <c r="B14" s="31" t="s">
        <v>700</v>
      </c>
      <c r="C14" s="8" t="s">
        <v>774</v>
      </c>
      <c r="D14" s="8" t="s">
        <v>775</v>
      </c>
      <c r="E14" s="8" t="s">
        <v>776</v>
      </c>
      <c r="F14" s="31" t="s">
        <v>777</v>
      </c>
      <c r="G14" s="31" t="s">
        <v>778</v>
      </c>
      <c r="H14" s="31" t="n">
        <v>91</v>
      </c>
      <c r="I14" s="31" t="s">
        <v>779</v>
      </c>
      <c r="J14" s="31" t="s">
        <v>707</v>
      </c>
      <c r="K14" s="8" t="s">
        <v>780</v>
      </c>
      <c r="L14" s="8" t="s">
        <v>721</v>
      </c>
      <c r="M14" s="8" t="s">
        <v>735</v>
      </c>
      <c r="N14" s="8" t="s">
        <v>523</v>
      </c>
      <c r="O14" s="31" t="s">
        <v>781</v>
      </c>
      <c r="P14" s="31" t="s">
        <v>523</v>
      </c>
    </row>
    <row r="15" customFormat="false" ht="48" hidden="false" customHeight="true" outlineLevel="0" collapsed="false">
      <c r="A15" s="31" t="s">
        <v>115</v>
      </c>
      <c r="B15" s="31" t="s">
        <v>700</v>
      </c>
      <c r="C15" s="8" t="s">
        <v>782</v>
      </c>
      <c r="D15" s="8" t="s">
        <v>783</v>
      </c>
      <c r="E15" s="8" t="s">
        <v>784</v>
      </c>
      <c r="F15" s="31" t="s">
        <v>785</v>
      </c>
      <c r="G15" s="31" t="s">
        <v>786</v>
      </c>
      <c r="H15" s="31" t="n">
        <v>92</v>
      </c>
      <c r="I15" s="31" t="s">
        <v>787</v>
      </c>
      <c r="J15" s="31" t="s">
        <v>707</v>
      </c>
      <c r="K15" s="8" t="s">
        <v>788</v>
      </c>
      <c r="L15" s="8" t="s">
        <v>721</v>
      </c>
      <c r="M15" s="8" t="s">
        <v>735</v>
      </c>
      <c r="N15" s="8" t="s">
        <v>789</v>
      </c>
      <c r="O15" s="31" t="s">
        <v>781</v>
      </c>
      <c r="P15" s="31" t="s">
        <v>523</v>
      </c>
    </row>
    <row r="16" customFormat="false" ht="48" hidden="false" customHeight="true" outlineLevel="0" collapsed="false">
      <c r="A16" s="31" t="s">
        <v>123</v>
      </c>
      <c r="B16" s="31" t="s">
        <v>700</v>
      </c>
      <c r="C16" s="8" t="s">
        <v>790</v>
      </c>
      <c r="D16" s="8" t="s">
        <v>791</v>
      </c>
      <c r="E16" s="8" t="s">
        <v>792</v>
      </c>
      <c r="F16" s="31" t="s">
        <v>793</v>
      </c>
      <c r="G16" s="31" t="s">
        <v>794</v>
      </c>
      <c r="H16" s="31" t="n">
        <v>93</v>
      </c>
      <c r="I16" s="31" t="s">
        <v>795</v>
      </c>
      <c r="J16" s="31" t="s">
        <v>707</v>
      </c>
      <c r="K16" s="8" t="s">
        <v>796</v>
      </c>
      <c r="L16" s="8" t="s">
        <v>721</v>
      </c>
      <c r="M16" s="8" t="s">
        <v>797</v>
      </c>
      <c r="N16" s="8" t="s">
        <v>523</v>
      </c>
      <c r="O16" s="31" t="s">
        <v>755</v>
      </c>
      <c r="P16" s="31" t="s">
        <v>624</v>
      </c>
    </row>
    <row r="17" customFormat="false" ht="48" hidden="false" customHeight="true" outlineLevel="0" collapsed="false">
      <c r="A17" s="31" t="s">
        <v>123</v>
      </c>
      <c r="B17" s="31" t="s">
        <v>798</v>
      </c>
      <c r="C17" s="8" t="s">
        <v>799</v>
      </c>
      <c r="D17" s="8" t="s">
        <v>800</v>
      </c>
      <c r="E17" s="8" t="s">
        <v>801</v>
      </c>
      <c r="F17" s="31" t="s">
        <v>802</v>
      </c>
      <c r="G17" s="31" t="s">
        <v>803</v>
      </c>
      <c r="H17" s="31" t="n">
        <v>94</v>
      </c>
      <c r="I17" s="31" t="s">
        <v>804</v>
      </c>
      <c r="J17" s="31" t="s">
        <v>805</v>
      </c>
      <c r="K17" s="8" t="s">
        <v>806</v>
      </c>
      <c r="L17" s="8" t="s">
        <v>806</v>
      </c>
      <c r="M17" s="8" t="s">
        <v>806</v>
      </c>
      <c r="N17" s="8" t="s">
        <v>807</v>
      </c>
      <c r="O17" s="31" t="s">
        <v>624</v>
      </c>
      <c r="P17" s="31" t="s">
        <v>624</v>
      </c>
    </row>
    <row r="18" customFormat="false" ht="48" hidden="false" customHeight="true" outlineLevel="0" collapsed="false">
      <c r="A18" s="31" t="s">
        <v>132</v>
      </c>
      <c r="B18" s="31" t="s">
        <v>700</v>
      </c>
      <c r="C18" s="8" t="s">
        <v>808</v>
      </c>
      <c r="D18" s="8" t="s">
        <v>809</v>
      </c>
      <c r="E18" s="8" t="s">
        <v>810</v>
      </c>
      <c r="F18" s="31" t="s">
        <v>811</v>
      </c>
      <c r="G18" s="31" t="s">
        <v>812</v>
      </c>
      <c r="H18" s="31" t="n">
        <v>95</v>
      </c>
      <c r="I18" s="31" t="s">
        <v>813</v>
      </c>
      <c r="J18" s="31" t="s">
        <v>707</v>
      </c>
      <c r="K18" s="8" t="s">
        <v>814</v>
      </c>
      <c r="L18" s="8" t="s">
        <v>721</v>
      </c>
      <c r="M18" s="8" t="s">
        <v>735</v>
      </c>
      <c r="N18" s="8" t="s">
        <v>523</v>
      </c>
      <c r="O18" s="31" t="s">
        <v>755</v>
      </c>
      <c r="P18" s="31" t="s">
        <v>523</v>
      </c>
    </row>
    <row r="19" customFormat="false" ht="48" hidden="false" customHeight="true" outlineLevel="0" collapsed="false">
      <c r="A19" s="31" t="s">
        <v>194</v>
      </c>
      <c r="B19" s="31" t="s">
        <v>700</v>
      </c>
      <c r="C19" s="8" t="s">
        <v>815</v>
      </c>
      <c r="D19" s="8" t="s">
        <v>816</v>
      </c>
      <c r="E19" s="8" t="s">
        <v>750</v>
      </c>
      <c r="F19" s="31" t="s">
        <v>817</v>
      </c>
      <c r="G19" s="31" t="s">
        <v>818</v>
      </c>
      <c r="H19" s="31" t="n">
        <v>96</v>
      </c>
      <c r="I19" s="31" t="s">
        <v>819</v>
      </c>
      <c r="J19" s="31" t="s">
        <v>707</v>
      </c>
      <c r="K19" s="8" t="s">
        <v>780</v>
      </c>
      <c r="L19" s="8" t="s">
        <v>721</v>
      </c>
      <c r="M19" s="8" t="s">
        <v>735</v>
      </c>
      <c r="N19" s="8" t="s">
        <v>523</v>
      </c>
      <c r="O19" s="31" t="s">
        <v>781</v>
      </c>
      <c r="P19" s="31" t="s">
        <v>523</v>
      </c>
    </row>
    <row r="20" customFormat="false" ht="48" hidden="false" customHeight="true" outlineLevel="0" collapsed="false">
      <c r="A20" s="31" t="s">
        <v>199</v>
      </c>
      <c r="B20" s="31" t="s">
        <v>700</v>
      </c>
      <c r="C20" s="8" t="s">
        <v>820</v>
      </c>
      <c r="D20" s="8" t="s">
        <v>821</v>
      </c>
      <c r="E20" s="8" t="s">
        <v>822</v>
      </c>
      <c r="F20" s="31" t="s">
        <v>823</v>
      </c>
      <c r="G20" s="31" t="s">
        <v>824</v>
      </c>
      <c r="H20" s="31" t="n">
        <v>97</v>
      </c>
      <c r="I20" s="31" t="s">
        <v>825</v>
      </c>
      <c r="J20" s="31" t="s">
        <v>707</v>
      </c>
      <c r="K20" s="8" t="s">
        <v>780</v>
      </c>
      <c r="L20" s="8" t="s">
        <v>721</v>
      </c>
      <c r="M20" s="8" t="s">
        <v>826</v>
      </c>
      <c r="N20" s="8" t="s">
        <v>827</v>
      </c>
      <c r="O20" s="31" t="s">
        <v>781</v>
      </c>
      <c r="P20" s="31" t="s">
        <v>828</v>
      </c>
    </row>
    <row r="22" customFormat="false" ht="17.35" hidden="false" customHeight="false" outlineLevel="0" collapsed="false">
      <c r="A22" s="17" t="s">
        <v>829</v>
      </c>
    </row>
    <row r="23" customFormat="false" ht="15" hidden="false" customHeight="false" outlineLevel="0" collapsed="false">
      <c r="A23" s="35" t="s">
        <v>830</v>
      </c>
      <c r="B23" s="35"/>
      <c r="C23" s="35"/>
      <c r="D23" s="35"/>
      <c r="E23" s="35"/>
      <c r="F23" s="6" t="n">
        <f aca="false">COUNTIFS(B5:B20,"a")</f>
        <v>12</v>
      </c>
    </row>
    <row r="24" customFormat="false" ht="15" hidden="false" customHeight="false" outlineLevel="0" collapsed="false">
      <c r="A24" s="35" t="s">
        <v>831</v>
      </c>
      <c r="B24" s="35"/>
      <c r="C24" s="35"/>
      <c r="D24" s="35"/>
      <c r="E24" s="35"/>
      <c r="F24" s="6" t="n">
        <f aca="false">COUNTIFS(B5:B20,"a",N5:N20,"Yes*")</f>
        <v>12</v>
      </c>
    </row>
    <row r="25" customFormat="false" ht="15" hidden="false" customHeight="false" outlineLevel="0" collapsed="false">
      <c r="A25" s="35" t="s">
        <v>832</v>
      </c>
      <c r="B25" s="35"/>
      <c r="C25" s="35"/>
      <c r="D25" s="35"/>
      <c r="E25" s="35"/>
      <c r="F25" s="6" t="n">
        <f aca="false">COUNTIFS(B5:B20,"a",J5:J20,"Pass")</f>
        <v>12</v>
      </c>
    </row>
    <row r="26" customFormat="false" ht="15" hidden="false" customHeight="false" outlineLevel="0" collapsed="false">
      <c r="A26" s="35" t="s">
        <v>833</v>
      </c>
      <c r="B26" s="35"/>
      <c r="C26" s="35"/>
      <c r="D26" s="35"/>
      <c r="E26" s="35"/>
      <c r="F26" s="6" t="n">
        <f aca="false">COUNTIFS(B5:B20,"a",O5:O20,"Yes*")</f>
        <v>8</v>
      </c>
    </row>
    <row r="27" customFormat="false" ht="15" hidden="false" customHeight="false" outlineLevel="0" collapsed="false">
      <c r="A27" s="35" t="s">
        <v>834</v>
      </c>
      <c r="B27" s="35"/>
      <c r="C27" s="35"/>
      <c r="D27" s="35"/>
      <c r="E27" s="35"/>
      <c r="F27" s="6" t="n">
        <f aca="false">COUNTIFS(B5:B20,"a",O5:O20,"n/a (blind)")</f>
        <v>4</v>
      </c>
    </row>
    <row r="28" customFormat="false" ht="15" hidden="false" customHeight="false" outlineLevel="0" collapsed="false">
      <c r="A28" s="35" t="s">
        <v>835</v>
      </c>
      <c r="B28" s="35"/>
      <c r="C28" s="35"/>
      <c r="D28" s="35"/>
      <c r="E28" s="35"/>
      <c r="F28" s="6" t="n">
        <f aca="false">COUNTIFS(B5:B20,"a",P5:P20,"Yes*")+COUNTIFS(B5:B20,"a",P5:P20,"Target yes*")</f>
        <v>9</v>
      </c>
    </row>
    <row r="29" customFormat="false" ht="15" hidden="false" customHeight="false" outlineLevel="0" collapsed="false">
      <c r="A29" s="35" t="s">
        <v>836</v>
      </c>
      <c r="B29" s="35"/>
      <c r="C29" s="35"/>
      <c r="D29" s="35"/>
      <c r="E29" s="35"/>
      <c r="F29" s="6" t="n">
        <f aca="false">COUNTIFS(B5:B20,"a",P5:P20,"No")</f>
        <v>2</v>
      </c>
    </row>
    <row r="30" customFormat="false" ht="15" hidden="false" customHeight="false" outlineLevel="0" collapsed="false">
      <c r="A30" s="35" t="s">
        <v>837</v>
      </c>
      <c r="B30" s="35"/>
      <c r="C30" s="35"/>
      <c r="D30" s="35"/>
      <c r="E30" s="35"/>
      <c r="F30" s="6" t="n">
        <f aca="false">COUNTIFS(B5:B20,"b",P5:P20,"Yes*")</f>
        <v>3</v>
      </c>
    </row>
    <row r="31" customFormat="false" ht="15" hidden="false" customHeight="false" outlineLevel="0" collapsed="false">
      <c r="A31" s="35" t="s">
        <v>838</v>
      </c>
      <c r="B31" s="35"/>
      <c r="C31" s="35"/>
      <c r="D31" s="35"/>
      <c r="E31" s="35"/>
      <c r="F31" s="6" t="n">
        <f aca="false">COUNTIFS(J5:J20,"FAIL*")</f>
        <v>1</v>
      </c>
    </row>
    <row r="33" customFormat="false" ht="15" hidden="false" customHeight="false" outlineLevel="0" collapsed="false">
      <c r="A33" s="25" t="s">
        <v>839</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840</v>
      </c>
      <c r="B1" s="7" t="s">
        <v>841</v>
      </c>
      <c r="C1" s="7" t="s">
        <v>842</v>
      </c>
      <c r="D1" s="7" t="s">
        <v>843</v>
      </c>
    </row>
    <row r="2" customFormat="false" ht="26.25" hidden="false" customHeight="true" outlineLevel="0" collapsed="false">
      <c r="A2" s="8" t="n">
        <v>1</v>
      </c>
      <c r="B2" s="8" t="s">
        <v>844</v>
      </c>
      <c r="C2" s="8" t="s">
        <v>845</v>
      </c>
      <c r="D2" s="36" t="s">
        <v>846</v>
      </c>
    </row>
    <row r="3" customFormat="false" ht="26.25" hidden="false" customHeight="true" outlineLevel="0" collapsed="false">
      <c r="A3" s="8" t="n">
        <v>2</v>
      </c>
      <c r="B3" s="8" t="s">
        <v>847</v>
      </c>
      <c r="C3" s="8" t="s">
        <v>848</v>
      </c>
      <c r="D3" s="36" t="s">
        <v>846</v>
      </c>
    </row>
    <row r="4" customFormat="false" ht="26.25" hidden="false" customHeight="true" outlineLevel="0" collapsed="false">
      <c r="A4" s="8" t="n">
        <v>3</v>
      </c>
      <c r="B4" s="8" t="s">
        <v>849</v>
      </c>
      <c r="C4" s="8" t="s">
        <v>850</v>
      </c>
      <c r="D4" s="36" t="s">
        <v>846</v>
      </c>
    </row>
    <row r="5" customFormat="false" ht="26.25" hidden="false" customHeight="true" outlineLevel="0" collapsed="false">
      <c r="A5" s="8" t="n">
        <v>4</v>
      </c>
      <c r="B5" s="8" t="s">
        <v>851</v>
      </c>
      <c r="C5" s="8" t="s">
        <v>852</v>
      </c>
      <c r="D5" s="36" t="s">
        <v>846</v>
      </c>
    </row>
    <row r="6" customFormat="false" ht="15" hidden="false" customHeight="true" outlineLevel="0" collapsed="false">
      <c r="A6" s="8" t="n">
        <v>5</v>
      </c>
      <c r="B6" s="8" t="s">
        <v>853</v>
      </c>
      <c r="C6" s="8" t="s">
        <v>854</v>
      </c>
      <c r="D6" s="36" t="s">
        <v>846</v>
      </c>
    </row>
    <row r="7" customFormat="false" ht="26.25" hidden="false" customHeight="true" outlineLevel="0" collapsed="false">
      <c r="A7" s="8" t="n">
        <v>6</v>
      </c>
      <c r="B7" s="8" t="s">
        <v>855</v>
      </c>
      <c r="C7" s="8" t="s">
        <v>856</v>
      </c>
      <c r="D7" s="36" t="s">
        <v>846</v>
      </c>
    </row>
    <row r="8" customFormat="false" ht="15" hidden="false" customHeight="true" outlineLevel="0" collapsed="false">
      <c r="A8" s="8" t="n">
        <v>7</v>
      </c>
      <c r="B8" s="8" t="s">
        <v>857</v>
      </c>
      <c r="C8" s="8" t="s">
        <v>858</v>
      </c>
      <c r="D8" s="36" t="s">
        <v>846</v>
      </c>
    </row>
    <row r="9" customFormat="false" ht="26.25" hidden="false" customHeight="true" outlineLevel="0" collapsed="false">
      <c r="A9" s="8" t="n">
        <v>8</v>
      </c>
      <c r="B9" s="8" t="s">
        <v>859</v>
      </c>
      <c r="C9" s="8" t="s">
        <v>860</v>
      </c>
      <c r="D9" s="36" t="s">
        <v>846</v>
      </c>
    </row>
    <row r="10" customFormat="false" ht="26.25" hidden="false" customHeight="true" outlineLevel="0" collapsed="false">
      <c r="A10" s="8" t="n">
        <v>9</v>
      </c>
      <c r="B10" s="8" t="s">
        <v>861</v>
      </c>
      <c r="C10" s="8" t="s">
        <v>862</v>
      </c>
      <c r="D10" s="36" t="s">
        <v>846</v>
      </c>
    </row>
    <row r="11" customFormat="false" ht="15" hidden="false" customHeight="true" outlineLevel="0" collapsed="false">
      <c r="A11" s="8" t="n">
        <v>10</v>
      </c>
      <c r="B11" s="8" t="s">
        <v>863</v>
      </c>
      <c r="C11" s="8" t="s">
        <v>75</v>
      </c>
      <c r="D11" s="36" t="s">
        <v>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55"/>
    <col collapsed="false" customWidth="true" hidden="false" outlineLevel="0" max="4" min="3" style="1" width="45"/>
  </cols>
  <sheetData>
    <row r="1" customFormat="false" ht="17.25" hidden="false" customHeight="true" outlineLevel="0" collapsed="false">
      <c r="A1" s="13" t="s">
        <v>864</v>
      </c>
    </row>
    <row r="2" customFormat="false" ht="30" hidden="false" customHeight="true" outlineLevel="0" collapsed="false">
      <c r="A2" s="18" t="s">
        <v>865</v>
      </c>
      <c r="B2" s="18"/>
      <c r="C2" s="18"/>
      <c r="D2" s="18"/>
    </row>
    <row r="3" customFormat="false" ht="15" hidden="false" customHeight="true" outlineLevel="0" collapsed="false">
      <c r="A3" s="18"/>
      <c r="B3" s="18"/>
      <c r="C3" s="18"/>
      <c r="D3" s="18"/>
    </row>
    <row r="5" customFormat="false" ht="15" hidden="false" customHeight="true" outlineLevel="0" collapsed="false">
      <c r="A5" s="19" t="s">
        <v>866</v>
      </c>
      <c r="B5" s="19" t="s">
        <v>867</v>
      </c>
      <c r="C5" s="19" t="s">
        <v>868</v>
      </c>
      <c r="D5" s="19" t="s">
        <v>869</v>
      </c>
    </row>
    <row r="6" customFormat="false" ht="60" hidden="false" customHeight="true" outlineLevel="0" collapsed="false">
      <c r="A6" s="37" t="s">
        <v>870</v>
      </c>
      <c r="B6" s="8" t="s">
        <v>871</v>
      </c>
      <c r="C6" s="8" t="s">
        <v>872</v>
      </c>
      <c r="D6" s="8" t="s">
        <v>873</v>
      </c>
    </row>
    <row r="7" customFormat="false" ht="60" hidden="false" customHeight="true" outlineLevel="0" collapsed="false">
      <c r="A7" s="37" t="s">
        <v>874</v>
      </c>
      <c r="B7" s="8" t="s">
        <v>875</v>
      </c>
      <c r="C7" s="8" t="s">
        <v>876</v>
      </c>
      <c r="D7" s="8" t="s">
        <v>877</v>
      </c>
    </row>
    <row r="8" customFormat="false" ht="60" hidden="false" customHeight="true" outlineLevel="0" collapsed="false">
      <c r="A8" s="37" t="s">
        <v>878</v>
      </c>
      <c r="B8" s="8" t="s">
        <v>879</v>
      </c>
      <c r="C8" s="8" t="s">
        <v>880</v>
      </c>
      <c r="D8" s="8" t="s">
        <v>881</v>
      </c>
    </row>
    <row r="9" customFormat="false" ht="60" hidden="false" customHeight="true" outlineLevel="0" collapsed="false">
      <c r="A9" s="37" t="s">
        <v>882</v>
      </c>
      <c r="B9" s="8" t="s">
        <v>883</v>
      </c>
      <c r="C9" s="8" t="s">
        <v>884</v>
      </c>
      <c r="D9" s="8" t="s">
        <v>885</v>
      </c>
    </row>
    <row r="10" customFormat="false" ht="60" hidden="false" customHeight="true" outlineLevel="0" collapsed="false">
      <c r="A10" s="37" t="s">
        <v>886</v>
      </c>
      <c r="B10" s="8" t="s">
        <v>887</v>
      </c>
      <c r="C10" s="8" t="s">
        <v>888</v>
      </c>
      <c r="D10" s="8" t="s">
        <v>889</v>
      </c>
    </row>
    <row r="11" customFormat="false" ht="60" hidden="false" customHeight="true" outlineLevel="0" collapsed="false">
      <c r="A11" s="37" t="s">
        <v>890</v>
      </c>
      <c r="B11" s="8" t="s">
        <v>891</v>
      </c>
      <c r="C11" s="8" t="s">
        <v>892</v>
      </c>
      <c r="D11" s="8" t="s">
        <v>893</v>
      </c>
    </row>
    <row r="12" customFormat="false" ht="60" hidden="false" customHeight="true" outlineLevel="0" collapsed="false">
      <c r="A12" s="37" t="s">
        <v>894</v>
      </c>
      <c r="B12" s="8" t="s">
        <v>895</v>
      </c>
      <c r="C12" s="8" t="s">
        <v>896</v>
      </c>
      <c r="D12" s="8" t="s">
        <v>897</v>
      </c>
    </row>
    <row r="14" customFormat="false" ht="15" hidden="false" customHeight="true" outlineLevel="0" collapsed="false">
      <c r="A14" s="15" t="s">
        <v>898</v>
      </c>
    </row>
    <row r="15" customFormat="false" ht="31.5" hidden="false" customHeight="true" outlineLevel="0" collapsed="false">
      <c r="A15" s="38" t="s">
        <v>899</v>
      </c>
      <c r="B15" s="38"/>
      <c r="C15" s="38"/>
      <c r="D15" s="38"/>
    </row>
    <row r="16" customFormat="false" ht="31.5" hidden="false" customHeight="true" outlineLevel="0" collapsed="false">
      <c r="A16" s="38" t="s">
        <v>900</v>
      </c>
      <c r="B16" s="38"/>
      <c r="C16" s="38"/>
      <c r="D16" s="38"/>
    </row>
    <row r="17" customFormat="false" ht="31.5" hidden="false" customHeight="true" outlineLevel="0" collapsed="false">
      <c r="A17" s="38" t="s">
        <v>901</v>
      </c>
      <c r="B17" s="38"/>
      <c r="C17" s="38"/>
      <c r="D17" s="38"/>
    </row>
    <row r="18" customFormat="false" ht="31.5" hidden="false" customHeight="true" outlineLevel="0" collapsed="false">
      <c r="A18" s="38" t="s">
        <v>902</v>
      </c>
      <c r="B18" s="38"/>
      <c r="C18" s="38"/>
      <c r="D18" s="38"/>
    </row>
    <row r="19" customFormat="false" ht="31.5" hidden="false" customHeight="true" outlineLevel="0" collapsed="false">
      <c r="A19" s="38" t="s">
        <v>903</v>
      </c>
      <c r="B19" s="38"/>
      <c r="C19" s="38"/>
      <c r="D19" s="38"/>
    </row>
    <row r="20" customFormat="false" ht="31.5" hidden="false" customHeight="true" outlineLevel="0" collapsed="false">
      <c r="A20" s="38" t="s">
        <v>904</v>
      </c>
      <c r="B20" s="38"/>
      <c r="C20" s="38"/>
      <c r="D20" s="38"/>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16"/>
    <col collapsed="false" customWidth="true" hidden="false" outlineLevel="0" max="5" min="5" style="1" width="13"/>
    <col collapsed="false" customWidth="true" hidden="false" outlineLevel="0" max="6" min="6" style="1" width="24"/>
    <col collapsed="false" customWidth="true" hidden="false" outlineLevel="0" max="12" min="7" style="1" width="5"/>
    <col collapsed="false" customWidth="true" hidden="false" outlineLevel="0" max="13" min="13" style="1" width="7"/>
    <col collapsed="false" customWidth="true" hidden="false" outlineLevel="0" max="14" min="14" style="1" width="6"/>
    <col collapsed="false" customWidth="true" hidden="false" outlineLevel="0" max="15" min="15" style="1" width="8"/>
    <col collapsed="false" customWidth="true" hidden="false" outlineLevel="0" max="16" min="16" style="1" width="10"/>
    <col collapsed="false" customWidth="true" hidden="false" outlineLevel="0" max="17" min="17" style="1" width="11"/>
    <col collapsed="false" customWidth="true" hidden="false" outlineLevel="0" max="18" min="18" style="1" width="90"/>
  </cols>
  <sheetData>
    <row r="1" customFormat="false" ht="51.75" hidden="false" customHeight="true" outlineLevel="0" collapsed="false">
      <c r="A1" s="19" t="s">
        <v>185</v>
      </c>
      <c r="B1" s="19" t="s">
        <v>378</v>
      </c>
      <c r="C1" s="19" t="s">
        <v>264</v>
      </c>
      <c r="D1" s="19" t="s">
        <v>265</v>
      </c>
      <c r="E1" s="19" t="s">
        <v>905</v>
      </c>
      <c r="F1" s="19" t="s">
        <v>906</v>
      </c>
      <c r="G1" s="19" t="s">
        <v>907</v>
      </c>
      <c r="H1" s="19" t="s">
        <v>908</v>
      </c>
      <c r="I1" s="19" t="s">
        <v>909</v>
      </c>
      <c r="J1" s="19" t="s">
        <v>910</v>
      </c>
      <c r="K1" s="19" t="s">
        <v>911</v>
      </c>
      <c r="L1" s="19" t="s">
        <v>912</v>
      </c>
      <c r="M1" s="19" t="s">
        <v>913</v>
      </c>
      <c r="N1" s="19" t="s">
        <v>914</v>
      </c>
      <c r="O1" s="19" t="s">
        <v>915</v>
      </c>
      <c r="P1" s="19" t="s">
        <v>916</v>
      </c>
      <c r="Q1" s="19" t="s">
        <v>917</v>
      </c>
      <c r="R1" s="19" t="s">
        <v>918</v>
      </c>
    </row>
    <row r="2" customFormat="false" ht="26.25" hidden="false" customHeight="true" outlineLevel="0" collapsed="false">
      <c r="A2" s="31" t="s">
        <v>32</v>
      </c>
      <c r="B2" s="31" t="n">
        <v>1</v>
      </c>
      <c r="C2" s="31" t="s">
        <v>384</v>
      </c>
      <c r="D2" s="31" t="s">
        <v>275</v>
      </c>
      <c r="E2" s="31" t="s">
        <v>919</v>
      </c>
      <c r="F2" s="8" t="s">
        <v>920</v>
      </c>
      <c r="G2" s="39" t="n">
        <v>2</v>
      </c>
      <c r="H2" s="39" t="n">
        <v>2</v>
      </c>
      <c r="I2" s="39" t="s">
        <v>624</v>
      </c>
      <c r="J2" s="39" t="s">
        <v>624</v>
      </c>
      <c r="K2" s="39" t="s">
        <v>624</v>
      </c>
      <c r="L2" s="39" t="n">
        <v>2</v>
      </c>
      <c r="M2" s="40" t="n">
        <f aca="false">SUM(G2:L2)</f>
        <v>6</v>
      </c>
      <c r="N2" s="40" t="n">
        <f aca="false">IF(E2="Vulnerable",12,6)</f>
        <v>6</v>
      </c>
      <c r="O2" s="41" t="n">
        <f aca="false">M2/N2</f>
        <v>1</v>
      </c>
      <c r="P2" s="40" t="s">
        <v>921</v>
      </c>
      <c r="Q2" s="40" t="s">
        <v>921</v>
      </c>
      <c r="R2" s="8" t="s">
        <v>922</v>
      </c>
    </row>
    <row r="3" customFormat="false" ht="15" hidden="false" customHeight="true" outlineLevel="0" collapsed="false">
      <c r="A3" s="31" t="s">
        <v>32</v>
      </c>
      <c r="B3" s="31" t="n">
        <v>2</v>
      </c>
      <c r="C3" s="31" t="s">
        <v>385</v>
      </c>
      <c r="D3" s="31" t="s">
        <v>284</v>
      </c>
      <c r="E3" s="31" t="s">
        <v>919</v>
      </c>
      <c r="F3" s="8" t="s">
        <v>923</v>
      </c>
      <c r="G3" s="39" t="n">
        <v>2</v>
      </c>
      <c r="H3" s="39" t="n">
        <v>2</v>
      </c>
      <c r="I3" s="39" t="s">
        <v>624</v>
      </c>
      <c r="J3" s="39" t="s">
        <v>624</v>
      </c>
      <c r="K3" s="39" t="s">
        <v>624</v>
      </c>
      <c r="L3" s="39" t="n">
        <v>2</v>
      </c>
      <c r="M3" s="40" t="n">
        <f aca="false">SUM(G3:L3)</f>
        <v>6</v>
      </c>
      <c r="N3" s="40" t="n">
        <f aca="false">IF(E3="Vulnerable",12,6)</f>
        <v>6</v>
      </c>
      <c r="O3" s="41" t="n">
        <f aca="false">M3/N3</f>
        <v>1</v>
      </c>
      <c r="P3" s="40" t="s">
        <v>921</v>
      </c>
      <c r="Q3" s="40" t="s">
        <v>921</v>
      </c>
      <c r="R3" s="8" t="s">
        <v>924</v>
      </c>
    </row>
    <row r="4" customFormat="false" ht="26.25" hidden="false" customHeight="true" outlineLevel="0" collapsed="false">
      <c r="A4" s="31" t="s">
        <v>32</v>
      </c>
      <c r="B4" s="31" t="n">
        <v>3</v>
      </c>
      <c r="C4" s="31" t="s">
        <v>386</v>
      </c>
      <c r="D4" s="31" t="s">
        <v>284</v>
      </c>
      <c r="E4" s="31" t="s">
        <v>919</v>
      </c>
      <c r="F4" s="8" t="s">
        <v>920</v>
      </c>
      <c r="G4" s="39" t="n">
        <v>2</v>
      </c>
      <c r="H4" s="39" t="n">
        <v>2</v>
      </c>
      <c r="I4" s="39" t="s">
        <v>624</v>
      </c>
      <c r="J4" s="39" t="s">
        <v>624</v>
      </c>
      <c r="K4" s="39" t="s">
        <v>624</v>
      </c>
      <c r="L4" s="39" t="n">
        <v>2</v>
      </c>
      <c r="M4" s="40" t="n">
        <f aca="false">SUM(G4:L4)</f>
        <v>6</v>
      </c>
      <c r="N4" s="40" t="n">
        <f aca="false">IF(E4="Vulnerable",12,6)</f>
        <v>6</v>
      </c>
      <c r="O4" s="41" t="n">
        <f aca="false">M4/N4</f>
        <v>1</v>
      </c>
      <c r="P4" s="40" t="s">
        <v>921</v>
      </c>
      <c r="Q4" s="40" t="s">
        <v>921</v>
      </c>
      <c r="R4" s="8" t="s">
        <v>925</v>
      </c>
    </row>
    <row r="5" customFormat="false" ht="26.25" hidden="false" customHeight="true" outlineLevel="0" collapsed="false">
      <c r="A5" s="31" t="s">
        <v>45</v>
      </c>
      <c r="B5" s="31" t="n">
        <v>1</v>
      </c>
      <c r="C5" s="31" t="s">
        <v>387</v>
      </c>
      <c r="D5" s="31" t="s">
        <v>275</v>
      </c>
      <c r="E5" s="31" t="s">
        <v>48</v>
      </c>
      <c r="F5" s="8" t="s">
        <v>926</v>
      </c>
      <c r="G5" s="39" t="n">
        <v>2</v>
      </c>
      <c r="H5" s="39" t="n">
        <v>2</v>
      </c>
      <c r="I5" s="39" t="n">
        <v>2</v>
      </c>
      <c r="J5" s="39" t="n">
        <v>2</v>
      </c>
      <c r="K5" s="39" t="n">
        <v>2</v>
      </c>
      <c r="L5" s="39" t="n">
        <v>2</v>
      </c>
      <c r="M5" s="40" t="n">
        <f aca="false">SUM(G5:L5)</f>
        <v>12</v>
      </c>
      <c r="N5" s="40" t="n">
        <f aca="false">IF(E5="Vulnerable",12,6)</f>
        <v>12</v>
      </c>
      <c r="O5" s="41" t="n">
        <f aca="false">M5/N5</f>
        <v>1</v>
      </c>
      <c r="P5" s="40" t="s">
        <v>921</v>
      </c>
      <c r="Q5" s="40" t="s">
        <v>921</v>
      </c>
      <c r="R5" s="8" t="s">
        <v>927</v>
      </c>
    </row>
    <row r="6" customFormat="false" ht="15" hidden="false" customHeight="true" outlineLevel="0" collapsed="false">
      <c r="A6" s="31" t="s">
        <v>45</v>
      </c>
      <c r="B6" s="31" t="n">
        <v>2</v>
      </c>
      <c r="C6" s="31" t="s">
        <v>388</v>
      </c>
      <c r="D6" s="31" t="s">
        <v>284</v>
      </c>
      <c r="E6" s="31" t="s">
        <v>48</v>
      </c>
      <c r="F6" s="8" t="s">
        <v>926</v>
      </c>
      <c r="G6" s="39" t="n">
        <v>2</v>
      </c>
      <c r="H6" s="39" t="n">
        <v>2</v>
      </c>
      <c r="I6" s="39" t="n">
        <v>2</v>
      </c>
      <c r="J6" s="39" t="n">
        <v>2</v>
      </c>
      <c r="K6" s="39" t="n">
        <v>2</v>
      </c>
      <c r="L6" s="39" t="n">
        <v>2</v>
      </c>
      <c r="M6" s="40" t="n">
        <f aca="false">SUM(G6:L6)</f>
        <v>12</v>
      </c>
      <c r="N6" s="40" t="n">
        <f aca="false">IF(E6="Vulnerable",12,6)</f>
        <v>12</v>
      </c>
      <c r="O6" s="41" t="n">
        <f aca="false">M6/N6</f>
        <v>1</v>
      </c>
      <c r="P6" s="40" t="s">
        <v>921</v>
      </c>
      <c r="Q6" s="40" t="s">
        <v>921</v>
      </c>
      <c r="R6" s="8" t="s">
        <v>928</v>
      </c>
    </row>
    <row r="7" customFormat="false" ht="15" hidden="false" customHeight="true" outlineLevel="0" collapsed="false">
      <c r="A7" s="31" t="s">
        <v>45</v>
      </c>
      <c r="B7" s="31" t="n">
        <v>3</v>
      </c>
      <c r="C7" s="31" t="s">
        <v>389</v>
      </c>
      <c r="D7" s="31" t="s">
        <v>284</v>
      </c>
      <c r="E7" s="31" t="s">
        <v>48</v>
      </c>
      <c r="F7" s="8" t="s">
        <v>926</v>
      </c>
      <c r="G7" s="39" t="n">
        <v>2</v>
      </c>
      <c r="H7" s="39" t="n">
        <v>2</v>
      </c>
      <c r="I7" s="39" t="n">
        <v>2</v>
      </c>
      <c r="J7" s="39" t="n">
        <v>2</v>
      </c>
      <c r="K7" s="39" t="n">
        <v>2</v>
      </c>
      <c r="L7" s="39" t="n">
        <v>2</v>
      </c>
      <c r="M7" s="40" t="n">
        <f aca="false">SUM(G7:L7)</f>
        <v>12</v>
      </c>
      <c r="N7" s="40" t="n">
        <f aca="false">IF(E7="Vulnerable",12,6)</f>
        <v>12</v>
      </c>
      <c r="O7" s="41" t="n">
        <f aca="false">M7/N7</f>
        <v>1</v>
      </c>
      <c r="P7" s="40" t="s">
        <v>921</v>
      </c>
      <c r="Q7" s="40" t="s">
        <v>921</v>
      </c>
      <c r="R7" s="8" t="s">
        <v>928</v>
      </c>
    </row>
    <row r="8" customFormat="false" ht="26.25" hidden="false" customHeight="true" outlineLevel="0" collapsed="false">
      <c r="A8" s="31" t="s">
        <v>58</v>
      </c>
      <c r="B8" s="31" t="n">
        <v>1</v>
      </c>
      <c r="C8" s="31" t="s">
        <v>390</v>
      </c>
      <c r="D8" s="31" t="s">
        <v>275</v>
      </c>
      <c r="E8" s="31" t="s">
        <v>48</v>
      </c>
      <c r="F8" s="8" t="s">
        <v>926</v>
      </c>
      <c r="G8" s="39" t="n">
        <v>2</v>
      </c>
      <c r="H8" s="39" t="n">
        <v>2</v>
      </c>
      <c r="I8" s="39" t="n">
        <v>2</v>
      </c>
      <c r="J8" s="39" t="n">
        <v>2</v>
      </c>
      <c r="K8" s="39" t="n">
        <v>2</v>
      </c>
      <c r="L8" s="39" t="n">
        <v>2</v>
      </c>
      <c r="M8" s="40" t="n">
        <f aca="false">SUM(G8:L8)</f>
        <v>12</v>
      </c>
      <c r="N8" s="40" t="n">
        <f aca="false">IF(E8="Vulnerable",12,6)</f>
        <v>12</v>
      </c>
      <c r="O8" s="41" t="n">
        <f aca="false">M8/N8</f>
        <v>1</v>
      </c>
      <c r="P8" s="40" t="s">
        <v>921</v>
      </c>
      <c r="Q8" s="40" t="s">
        <v>921</v>
      </c>
      <c r="R8" s="8" t="s">
        <v>929</v>
      </c>
    </row>
    <row r="9" customFormat="false" ht="15" hidden="false" customHeight="true" outlineLevel="0" collapsed="false">
      <c r="A9" s="31" t="s">
        <v>58</v>
      </c>
      <c r="B9" s="31" t="n">
        <v>2</v>
      </c>
      <c r="C9" s="31" t="s">
        <v>391</v>
      </c>
      <c r="D9" s="31" t="s">
        <v>284</v>
      </c>
      <c r="E9" s="31" t="s">
        <v>48</v>
      </c>
      <c r="F9" s="8" t="s">
        <v>926</v>
      </c>
      <c r="G9" s="39" t="n">
        <v>2</v>
      </c>
      <c r="H9" s="39" t="n">
        <v>2</v>
      </c>
      <c r="I9" s="39" t="n">
        <v>2</v>
      </c>
      <c r="J9" s="39" t="n">
        <v>2</v>
      </c>
      <c r="K9" s="39" t="n">
        <v>2</v>
      </c>
      <c r="L9" s="39" t="n">
        <v>2</v>
      </c>
      <c r="M9" s="40" t="n">
        <f aca="false">SUM(G9:L9)</f>
        <v>12</v>
      </c>
      <c r="N9" s="40" t="n">
        <f aca="false">IF(E9="Vulnerable",12,6)</f>
        <v>12</v>
      </c>
      <c r="O9" s="41" t="n">
        <f aca="false">M9/N9</f>
        <v>1</v>
      </c>
      <c r="P9" s="40" t="s">
        <v>921</v>
      </c>
      <c r="Q9" s="40" t="s">
        <v>921</v>
      </c>
      <c r="R9" s="8" t="s">
        <v>471</v>
      </c>
    </row>
    <row r="10" customFormat="false" ht="26.25" hidden="false" customHeight="true" outlineLevel="0" collapsed="false">
      <c r="A10" s="31" t="s">
        <v>58</v>
      </c>
      <c r="B10" s="31" t="n">
        <v>3</v>
      </c>
      <c r="C10" s="31" t="s">
        <v>392</v>
      </c>
      <c r="D10" s="31" t="s">
        <v>284</v>
      </c>
      <c r="E10" s="31" t="s">
        <v>48</v>
      </c>
      <c r="F10" s="8" t="s">
        <v>926</v>
      </c>
      <c r="G10" s="39" t="n">
        <v>2</v>
      </c>
      <c r="H10" s="39" t="n">
        <v>2</v>
      </c>
      <c r="I10" s="39" t="n">
        <v>2</v>
      </c>
      <c r="J10" s="39" t="n">
        <v>2</v>
      </c>
      <c r="K10" s="39" t="n">
        <v>2</v>
      </c>
      <c r="L10" s="39" t="n">
        <v>1</v>
      </c>
      <c r="M10" s="40" t="n">
        <f aca="false">SUM(G10:L10)</f>
        <v>11</v>
      </c>
      <c r="N10" s="40" t="n">
        <f aca="false">IF(E10="Vulnerable",12,6)</f>
        <v>12</v>
      </c>
      <c r="O10" s="41" t="n">
        <f aca="false">M10/N10</f>
        <v>0.916666666666667</v>
      </c>
      <c r="P10" s="40" t="s">
        <v>921</v>
      </c>
      <c r="Q10" s="40" t="s">
        <v>930</v>
      </c>
      <c r="R10" s="8" t="s">
        <v>931</v>
      </c>
    </row>
    <row r="11" customFormat="false" ht="26.25" hidden="false" customHeight="true" outlineLevel="0" collapsed="false">
      <c r="A11" s="31" t="s">
        <v>68</v>
      </c>
      <c r="B11" s="31" t="n">
        <v>1</v>
      </c>
      <c r="C11" s="31" t="s">
        <v>393</v>
      </c>
      <c r="D11" s="31" t="s">
        <v>275</v>
      </c>
      <c r="E11" s="31" t="s">
        <v>48</v>
      </c>
      <c r="F11" s="8" t="s">
        <v>926</v>
      </c>
      <c r="G11" s="39" t="n">
        <v>2</v>
      </c>
      <c r="H11" s="39" t="n">
        <v>2</v>
      </c>
      <c r="I11" s="39" t="n">
        <v>1</v>
      </c>
      <c r="J11" s="39" t="n">
        <v>1</v>
      </c>
      <c r="K11" s="39" t="n">
        <v>2</v>
      </c>
      <c r="L11" s="39" t="n">
        <v>2</v>
      </c>
      <c r="M11" s="40" t="n">
        <f aca="false">SUM(G11:L11)</f>
        <v>10</v>
      </c>
      <c r="N11" s="40" t="n">
        <f aca="false">IF(E11="Vulnerable",12,6)</f>
        <v>12</v>
      </c>
      <c r="O11" s="41" t="n">
        <f aca="false">M11/N11</f>
        <v>0.833333333333333</v>
      </c>
      <c r="P11" s="40" t="s">
        <v>921</v>
      </c>
      <c r="Q11" s="40" t="s">
        <v>921</v>
      </c>
      <c r="R11" s="8" t="s">
        <v>932</v>
      </c>
    </row>
    <row r="12" customFormat="false" ht="15" hidden="false" customHeight="true" outlineLevel="0" collapsed="false">
      <c r="A12" s="31" t="s">
        <v>68</v>
      </c>
      <c r="B12" s="31" t="n">
        <v>2</v>
      </c>
      <c r="C12" s="31" t="s">
        <v>394</v>
      </c>
      <c r="D12" s="31" t="s">
        <v>284</v>
      </c>
      <c r="E12" s="31" t="s">
        <v>48</v>
      </c>
      <c r="F12" s="8" t="s">
        <v>926</v>
      </c>
      <c r="G12" s="39" t="n">
        <v>2</v>
      </c>
      <c r="H12" s="39" t="n">
        <v>2</v>
      </c>
      <c r="I12" s="39" t="n">
        <v>1</v>
      </c>
      <c r="J12" s="39" t="n">
        <v>1</v>
      </c>
      <c r="K12" s="39" t="n">
        <v>2</v>
      </c>
      <c r="L12" s="39" t="n">
        <v>2</v>
      </c>
      <c r="M12" s="40" t="n">
        <f aca="false">SUM(G12:L12)</f>
        <v>10</v>
      </c>
      <c r="N12" s="40" t="n">
        <f aca="false">IF(E12="Vulnerable",12,6)</f>
        <v>12</v>
      </c>
      <c r="O12" s="41" t="n">
        <f aca="false">M12/N12</f>
        <v>0.833333333333333</v>
      </c>
      <c r="P12" s="40" t="s">
        <v>921</v>
      </c>
      <c r="Q12" s="40" t="s">
        <v>921</v>
      </c>
      <c r="R12" s="8" t="s">
        <v>933</v>
      </c>
    </row>
    <row r="13" customFormat="false" ht="15" hidden="false" customHeight="true" outlineLevel="0" collapsed="false">
      <c r="A13" s="31" t="s">
        <v>68</v>
      </c>
      <c r="B13" s="31" t="n">
        <v>3</v>
      </c>
      <c r="C13" s="31" t="s">
        <v>395</v>
      </c>
      <c r="D13" s="31" t="s">
        <v>284</v>
      </c>
      <c r="E13" s="31" t="s">
        <v>48</v>
      </c>
      <c r="F13" s="8" t="s">
        <v>926</v>
      </c>
      <c r="G13" s="39" t="n">
        <v>2</v>
      </c>
      <c r="H13" s="39" t="n">
        <v>2</v>
      </c>
      <c r="I13" s="39" t="n">
        <v>1</v>
      </c>
      <c r="J13" s="39" t="n">
        <v>1</v>
      </c>
      <c r="K13" s="39" t="n">
        <v>2</v>
      </c>
      <c r="L13" s="39" t="n">
        <v>2</v>
      </c>
      <c r="M13" s="40" t="n">
        <f aca="false">SUM(G13:L13)</f>
        <v>10</v>
      </c>
      <c r="N13" s="40" t="n">
        <f aca="false">IF(E13="Vulnerable",12,6)</f>
        <v>12</v>
      </c>
      <c r="O13" s="41" t="n">
        <f aca="false">M13/N13</f>
        <v>0.833333333333333</v>
      </c>
      <c r="P13" s="40" t="s">
        <v>921</v>
      </c>
      <c r="Q13" s="40" t="s">
        <v>921</v>
      </c>
      <c r="R13" s="8" t="s">
        <v>471</v>
      </c>
    </row>
    <row r="14" customFormat="false" ht="26.25" hidden="false" customHeight="true" outlineLevel="0" collapsed="false">
      <c r="A14" s="31" t="s">
        <v>78</v>
      </c>
      <c r="B14" s="31" t="n">
        <v>1</v>
      </c>
      <c r="C14" s="31" t="s">
        <v>396</v>
      </c>
      <c r="D14" s="31" t="s">
        <v>275</v>
      </c>
      <c r="E14" s="31" t="s">
        <v>48</v>
      </c>
      <c r="F14" s="8" t="s">
        <v>926</v>
      </c>
      <c r="G14" s="39" t="n">
        <v>2</v>
      </c>
      <c r="H14" s="39" t="n">
        <v>2</v>
      </c>
      <c r="I14" s="39" t="n">
        <v>2</v>
      </c>
      <c r="J14" s="39" t="n">
        <v>2</v>
      </c>
      <c r="K14" s="39" t="n">
        <v>2</v>
      </c>
      <c r="L14" s="39" t="n">
        <v>2</v>
      </c>
      <c r="M14" s="40" t="n">
        <f aca="false">SUM(G14:L14)</f>
        <v>12</v>
      </c>
      <c r="N14" s="40" t="n">
        <f aca="false">IF(E14="Vulnerable",12,6)</f>
        <v>12</v>
      </c>
      <c r="O14" s="41" t="n">
        <f aca="false">M14/N14</f>
        <v>1</v>
      </c>
      <c r="P14" s="40" t="s">
        <v>921</v>
      </c>
      <c r="Q14" s="40" t="s">
        <v>921</v>
      </c>
      <c r="R14" s="8" t="s">
        <v>934</v>
      </c>
    </row>
    <row r="15" customFormat="false" ht="15" hidden="false" customHeight="true" outlineLevel="0" collapsed="false">
      <c r="A15" s="31" t="s">
        <v>78</v>
      </c>
      <c r="B15" s="31" t="n">
        <v>2</v>
      </c>
      <c r="C15" s="31" t="s">
        <v>397</v>
      </c>
      <c r="D15" s="31" t="s">
        <v>284</v>
      </c>
      <c r="E15" s="31" t="s">
        <v>48</v>
      </c>
      <c r="F15" s="8" t="s">
        <v>926</v>
      </c>
      <c r="G15" s="39" t="n">
        <v>2</v>
      </c>
      <c r="H15" s="39" t="n">
        <v>2</v>
      </c>
      <c r="I15" s="39" t="n">
        <v>2</v>
      </c>
      <c r="J15" s="39" t="n">
        <v>2</v>
      </c>
      <c r="K15" s="39" t="n">
        <v>2</v>
      </c>
      <c r="L15" s="39" t="n">
        <v>2</v>
      </c>
      <c r="M15" s="40" t="n">
        <f aca="false">SUM(G15:L15)</f>
        <v>12</v>
      </c>
      <c r="N15" s="40" t="n">
        <f aca="false">IF(E15="Vulnerable",12,6)</f>
        <v>12</v>
      </c>
      <c r="O15" s="41" t="n">
        <f aca="false">M15/N15</f>
        <v>1</v>
      </c>
      <c r="P15" s="40" t="s">
        <v>921</v>
      </c>
      <c r="Q15" s="40" t="s">
        <v>921</v>
      </c>
      <c r="R15" s="8" t="s">
        <v>471</v>
      </c>
    </row>
    <row r="16" customFormat="false" ht="15" hidden="false" customHeight="true" outlineLevel="0" collapsed="false">
      <c r="A16" s="31" t="s">
        <v>78</v>
      </c>
      <c r="B16" s="31" t="n">
        <v>3</v>
      </c>
      <c r="C16" s="31" t="s">
        <v>398</v>
      </c>
      <c r="D16" s="31" t="s">
        <v>284</v>
      </c>
      <c r="E16" s="31" t="s">
        <v>48</v>
      </c>
      <c r="F16" s="8" t="s">
        <v>926</v>
      </c>
      <c r="G16" s="39" t="n">
        <v>2</v>
      </c>
      <c r="H16" s="39" t="n">
        <v>2</v>
      </c>
      <c r="I16" s="39" t="n">
        <v>2</v>
      </c>
      <c r="J16" s="39" t="n">
        <v>2</v>
      </c>
      <c r="K16" s="39" t="n">
        <v>2</v>
      </c>
      <c r="L16" s="39" t="n">
        <v>2</v>
      </c>
      <c r="M16" s="40" t="n">
        <f aca="false">SUM(G16:L16)</f>
        <v>12</v>
      </c>
      <c r="N16" s="40" t="n">
        <f aca="false">IF(E16="Vulnerable",12,6)</f>
        <v>12</v>
      </c>
      <c r="O16" s="41" t="n">
        <f aca="false">M16/N16</f>
        <v>1</v>
      </c>
      <c r="P16" s="40" t="s">
        <v>921</v>
      </c>
      <c r="Q16" s="40" t="s">
        <v>921</v>
      </c>
      <c r="R16" s="8" t="s">
        <v>935</v>
      </c>
    </row>
    <row r="17" customFormat="false" ht="26.25" hidden="false" customHeight="true" outlineLevel="0" collapsed="false">
      <c r="A17" s="31" t="s">
        <v>87</v>
      </c>
      <c r="B17" s="31" t="n">
        <v>1</v>
      </c>
      <c r="C17" s="31" t="s">
        <v>399</v>
      </c>
      <c r="D17" s="31" t="s">
        <v>275</v>
      </c>
      <c r="E17" s="31" t="s">
        <v>48</v>
      </c>
      <c r="F17" s="8" t="s">
        <v>926</v>
      </c>
      <c r="G17" s="39" t="n">
        <v>2</v>
      </c>
      <c r="H17" s="39" t="n">
        <v>2</v>
      </c>
      <c r="I17" s="39" t="n">
        <v>2</v>
      </c>
      <c r="J17" s="39" t="n">
        <v>2</v>
      </c>
      <c r="K17" s="39" t="n">
        <v>2</v>
      </c>
      <c r="L17" s="39" t="n">
        <v>2</v>
      </c>
      <c r="M17" s="40" t="n">
        <f aca="false">SUM(G17:L17)</f>
        <v>12</v>
      </c>
      <c r="N17" s="40" t="n">
        <f aca="false">IF(E17="Vulnerable",12,6)</f>
        <v>12</v>
      </c>
      <c r="O17" s="41" t="n">
        <f aca="false">M17/N17</f>
        <v>1</v>
      </c>
      <c r="P17" s="40" t="s">
        <v>921</v>
      </c>
      <c r="Q17" s="40" t="s">
        <v>921</v>
      </c>
      <c r="R17" s="8" t="s">
        <v>936</v>
      </c>
    </row>
    <row r="18" customFormat="false" ht="15" hidden="false" customHeight="true" outlineLevel="0" collapsed="false">
      <c r="A18" s="31" t="s">
        <v>87</v>
      </c>
      <c r="B18" s="31" t="n">
        <v>2</v>
      </c>
      <c r="C18" s="31" t="s">
        <v>400</v>
      </c>
      <c r="D18" s="31" t="s">
        <v>284</v>
      </c>
      <c r="E18" s="31" t="s">
        <v>48</v>
      </c>
      <c r="F18" s="8" t="s">
        <v>926</v>
      </c>
      <c r="G18" s="39" t="n">
        <v>2</v>
      </c>
      <c r="H18" s="39" t="n">
        <v>2</v>
      </c>
      <c r="I18" s="39" t="n">
        <v>2</v>
      </c>
      <c r="J18" s="39" t="n">
        <v>2</v>
      </c>
      <c r="K18" s="39" t="n">
        <v>2</v>
      </c>
      <c r="L18" s="39" t="n">
        <v>2</v>
      </c>
      <c r="M18" s="40" t="n">
        <f aca="false">SUM(G18:L18)</f>
        <v>12</v>
      </c>
      <c r="N18" s="40" t="n">
        <f aca="false">IF(E18="Vulnerable",12,6)</f>
        <v>12</v>
      </c>
      <c r="O18" s="41" t="n">
        <f aca="false">M18/N18</f>
        <v>1</v>
      </c>
      <c r="P18" s="40" t="s">
        <v>921</v>
      </c>
      <c r="Q18" s="40" t="s">
        <v>921</v>
      </c>
      <c r="R18" s="8" t="s">
        <v>471</v>
      </c>
    </row>
    <row r="19" customFormat="false" ht="15" hidden="false" customHeight="true" outlineLevel="0" collapsed="false">
      <c r="A19" s="31" t="s">
        <v>87</v>
      </c>
      <c r="B19" s="31" t="n">
        <v>3</v>
      </c>
      <c r="C19" s="31" t="s">
        <v>401</v>
      </c>
      <c r="D19" s="31" t="s">
        <v>284</v>
      </c>
      <c r="E19" s="31" t="s">
        <v>48</v>
      </c>
      <c r="F19" s="8" t="s">
        <v>926</v>
      </c>
      <c r="G19" s="39" t="n">
        <v>2</v>
      </c>
      <c r="H19" s="39" t="n">
        <v>2</v>
      </c>
      <c r="I19" s="39" t="n">
        <v>2</v>
      </c>
      <c r="J19" s="39" t="n">
        <v>2</v>
      </c>
      <c r="K19" s="39" t="n">
        <v>2</v>
      </c>
      <c r="L19" s="39" t="n">
        <v>2</v>
      </c>
      <c r="M19" s="40" t="n">
        <f aca="false">SUM(G19:L19)</f>
        <v>12</v>
      </c>
      <c r="N19" s="40" t="n">
        <f aca="false">IF(E19="Vulnerable",12,6)</f>
        <v>12</v>
      </c>
      <c r="O19" s="41" t="n">
        <f aca="false">M19/N19</f>
        <v>1</v>
      </c>
      <c r="P19" s="40" t="s">
        <v>921</v>
      </c>
      <c r="Q19" s="40" t="s">
        <v>921</v>
      </c>
      <c r="R19" s="8" t="s">
        <v>471</v>
      </c>
    </row>
    <row r="20" customFormat="false" ht="39" hidden="false" customHeight="true" outlineLevel="0" collapsed="false">
      <c r="A20" s="31" t="s">
        <v>96</v>
      </c>
      <c r="B20" s="31" t="n">
        <v>1</v>
      </c>
      <c r="C20" s="31" t="s">
        <v>402</v>
      </c>
      <c r="D20" s="31" t="s">
        <v>275</v>
      </c>
      <c r="E20" s="31" t="s">
        <v>48</v>
      </c>
      <c r="F20" s="8" t="s">
        <v>926</v>
      </c>
      <c r="G20" s="39" t="n">
        <v>2</v>
      </c>
      <c r="H20" s="39" t="n">
        <v>1</v>
      </c>
      <c r="I20" s="39" t="n">
        <v>2</v>
      </c>
      <c r="J20" s="39" t="n">
        <v>2</v>
      </c>
      <c r="K20" s="39" t="n">
        <v>2</v>
      </c>
      <c r="L20" s="39" t="n">
        <v>2</v>
      </c>
      <c r="M20" s="40" t="n">
        <f aca="false">SUM(G20:L20)</f>
        <v>11</v>
      </c>
      <c r="N20" s="40" t="n">
        <f aca="false">IF(E20="Vulnerable",12,6)</f>
        <v>12</v>
      </c>
      <c r="O20" s="41" t="n">
        <f aca="false">M20/N20</f>
        <v>0.916666666666667</v>
      </c>
      <c r="P20" s="40" t="s">
        <v>930</v>
      </c>
      <c r="Q20" s="40" t="s">
        <v>921</v>
      </c>
      <c r="R20" s="8" t="s">
        <v>937</v>
      </c>
    </row>
    <row r="21" customFormat="false" ht="15" hidden="false" customHeight="true" outlineLevel="0" collapsed="false">
      <c r="A21" s="31" t="s">
        <v>96</v>
      </c>
      <c r="B21" s="31" t="n">
        <v>2</v>
      </c>
      <c r="C21" s="31" t="s">
        <v>403</v>
      </c>
      <c r="D21" s="31" t="s">
        <v>284</v>
      </c>
      <c r="E21" s="31" t="s">
        <v>48</v>
      </c>
      <c r="F21" s="8" t="s">
        <v>926</v>
      </c>
      <c r="G21" s="39" t="n">
        <v>2</v>
      </c>
      <c r="H21" s="39" t="n">
        <v>1</v>
      </c>
      <c r="I21" s="39" t="n">
        <v>2</v>
      </c>
      <c r="J21" s="39" t="n">
        <v>2</v>
      </c>
      <c r="K21" s="39" t="n">
        <v>2</v>
      </c>
      <c r="L21" s="39" t="n">
        <v>2</v>
      </c>
      <c r="M21" s="40" t="n">
        <f aca="false">SUM(G21:L21)</f>
        <v>11</v>
      </c>
      <c r="N21" s="40" t="n">
        <f aca="false">IF(E21="Vulnerable",12,6)</f>
        <v>12</v>
      </c>
      <c r="O21" s="41" t="n">
        <f aca="false">M21/N21</f>
        <v>0.916666666666667</v>
      </c>
      <c r="P21" s="40" t="s">
        <v>930</v>
      </c>
      <c r="Q21" s="40" t="s">
        <v>921</v>
      </c>
      <c r="R21" s="8" t="s">
        <v>938</v>
      </c>
    </row>
    <row r="22" customFormat="false" ht="15" hidden="false" customHeight="true" outlineLevel="0" collapsed="false">
      <c r="A22" s="31" t="s">
        <v>96</v>
      </c>
      <c r="B22" s="31" t="n">
        <v>3</v>
      </c>
      <c r="C22" s="31" t="s">
        <v>404</v>
      </c>
      <c r="D22" s="31" t="s">
        <v>284</v>
      </c>
      <c r="E22" s="31" t="s">
        <v>48</v>
      </c>
      <c r="F22" s="8" t="s">
        <v>926</v>
      </c>
      <c r="G22" s="39" t="n">
        <v>2</v>
      </c>
      <c r="H22" s="39" t="n">
        <v>1</v>
      </c>
      <c r="I22" s="39" t="n">
        <v>2</v>
      </c>
      <c r="J22" s="39" t="n">
        <v>2</v>
      </c>
      <c r="K22" s="39" t="n">
        <v>2</v>
      </c>
      <c r="L22" s="39" t="n">
        <v>2</v>
      </c>
      <c r="M22" s="40" t="n">
        <f aca="false">SUM(G22:L22)</f>
        <v>11</v>
      </c>
      <c r="N22" s="40" t="n">
        <f aca="false">IF(E22="Vulnerable",12,6)</f>
        <v>12</v>
      </c>
      <c r="O22" s="41" t="n">
        <f aca="false">M22/N22</f>
        <v>0.916666666666667</v>
      </c>
      <c r="P22" s="40" t="s">
        <v>930</v>
      </c>
      <c r="Q22" s="40" t="s">
        <v>921</v>
      </c>
      <c r="R22" s="8" t="s">
        <v>938</v>
      </c>
    </row>
    <row r="23" customFormat="false" ht="39" hidden="false" customHeight="true" outlineLevel="0" collapsed="false">
      <c r="A23" s="31" t="s">
        <v>106</v>
      </c>
      <c r="B23" s="31" t="n">
        <v>1</v>
      </c>
      <c r="C23" s="31" t="s">
        <v>405</v>
      </c>
      <c r="D23" s="31" t="s">
        <v>275</v>
      </c>
      <c r="E23" s="31" t="s">
        <v>48</v>
      </c>
      <c r="F23" s="8" t="s">
        <v>939</v>
      </c>
      <c r="G23" s="39" t="n">
        <v>0</v>
      </c>
      <c r="H23" s="39" t="n">
        <v>1</v>
      </c>
      <c r="I23" s="39" t="n">
        <v>1</v>
      </c>
      <c r="J23" s="39" t="n">
        <v>2</v>
      </c>
      <c r="K23" s="39" t="n">
        <v>1</v>
      </c>
      <c r="L23" s="39" t="n">
        <v>0</v>
      </c>
      <c r="M23" s="40" t="n">
        <f aca="false">SUM(G23:L23)</f>
        <v>5</v>
      </c>
      <c r="N23" s="40" t="n">
        <f aca="false">IF(E23="Vulnerable",12,6)</f>
        <v>12</v>
      </c>
      <c r="O23" s="41" t="n">
        <f aca="false">M23/N23</f>
        <v>0.416666666666667</v>
      </c>
      <c r="P23" s="40" t="s">
        <v>921</v>
      </c>
      <c r="Q23" s="40" t="s">
        <v>921</v>
      </c>
      <c r="R23" s="8" t="s">
        <v>940</v>
      </c>
    </row>
    <row r="24" customFormat="false" ht="26.25" hidden="false" customHeight="true" outlineLevel="0" collapsed="false">
      <c r="A24" s="31" t="s">
        <v>106</v>
      </c>
      <c r="B24" s="31" t="n">
        <v>2</v>
      </c>
      <c r="C24" s="31" t="s">
        <v>406</v>
      </c>
      <c r="D24" s="31" t="s">
        <v>284</v>
      </c>
      <c r="E24" s="31" t="s">
        <v>48</v>
      </c>
      <c r="F24" s="8" t="s">
        <v>941</v>
      </c>
      <c r="G24" s="39" t="n">
        <v>1</v>
      </c>
      <c r="H24" s="39" t="n">
        <v>2</v>
      </c>
      <c r="I24" s="39" t="n">
        <v>2</v>
      </c>
      <c r="J24" s="39" t="n">
        <v>2</v>
      </c>
      <c r="K24" s="39" t="n">
        <v>2</v>
      </c>
      <c r="L24" s="39" t="n">
        <v>0</v>
      </c>
      <c r="M24" s="40" t="n">
        <f aca="false">SUM(G24:L24)</f>
        <v>9</v>
      </c>
      <c r="N24" s="40" t="n">
        <f aca="false">IF(E24="Vulnerable",12,6)</f>
        <v>12</v>
      </c>
      <c r="O24" s="41" t="n">
        <f aca="false">M24/N24</f>
        <v>0.75</v>
      </c>
      <c r="P24" s="40" t="s">
        <v>921</v>
      </c>
      <c r="Q24" s="40" t="s">
        <v>921</v>
      </c>
      <c r="R24" s="8" t="s">
        <v>942</v>
      </c>
    </row>
    <row r="25" customFormat="false" ht="15" hidden="false" customHeight="true" outlineLevel="0" collapsed="false">
      <c r="A25" s="31" t="s">
        <v>106</v>
      </c>
      <c r="B25" s="31" t="n">
        <v>3</v>
      </c>
      <c r="C25" s="31" t="s">
        <v>407</v>
      </c>
      <c r="D25" s="31" t="s">
        <v>284</v>
      </c>
      <c r="E25" s="31" t="s">
        <v>48</v>
      </c>
      <c r="F25" s="8" t="s">
        <v>941</v>
      </c>
      <c r="G25" s="39" t="n">
        <v>1</v>
      </c>
      <c r="H25" s="39" t="n">
        <v>2</v>
      </c>
      <c r="I25" s="39" t="n">
        <v>2</v>
      </c>
      <c r="J25" s="39" t="n">
        <v>2</v>
      </c>
      <c r="K25" s="39" t="n">
        <v>2</v>
      </c>
      <c r="L25" s="39" t="n">
        <v>0</v>
      </c>
      <c r="M25" s="40" t="n">
        <f aca="false">SUM(G25:L25)</f>
        <v>9</v>
      </c>
      <c r="N25" s="40" t="n">
        <f aca="false">IF(E25="Vulnerable",12,6)</f>
        <v>12</v>
      </c>
      <c r="O25" s="41" t="n">
        <f aca="false">M25/N25</f>
        <v>0.75</v>
      </c>
      <c r="P25" s="40" t="s">
        <v>921</v>
      </c>
      <c r="Q25" s="40" t="s">
        <v>921</v>
      </c>
      <c r="R25" s="8" t="s">
        <v>943</v>
      </c>
    </row>
    <row r="26" customFormat="false" ht="26.25" hidden="false" customHeight="true" outlineLevel="0" collapsed="false">
      <c r="A26" s="31" t="s">
        <v>106</v>
      </c>
      <c r="B26" s="31" t="n">
        <v>4</v>
      </c>
      <c r="C26" s="31" t="s">
        <v>408</v>
      </c>
      <c r="D26" s="31" t="s">
        <v>284</v>
      </c>
      <c r="E26" s="31" t="s">
        <v>48</v>
      </c>
      <c r="F26" s="8" t="s">
        <v>926</v>
      </c>
      <c r="G26" s="39" t="n">
        <v>2</v>
      </c>
      <c r="H26" s="39" t="n">
        <v>2</v>
      </c>
      <c r="I26" s="39" t="n">
        <v>2</v>
      </c>
      <c r="J26" s="39" t="n">
        <v>2</v>
      </c>
      <c r="K26" s="39" t="n">
        <v>2</v>
      </c>
      <c r="L26" s="39" t="n">
        <v>2</v>
      </c>
      <c r="M26" s="40" t="n">
        <f aca="false">SUM(G26:L26)</f>
        <v>12</v>
      </c>
      <c r="N26" s="40" t="n">
        <f aca="false">IF(E26="Vulnerable",12,6)</f>
        <v>12</v>
      </c>
      <c r="O26" s="41" t="n">
        <f aca="false">M26/N26</f>
        <v>1</v>
      </c>
      <c r="P26" s="40" t="s">
        <v>921</v>
      </c>
      <c r="Q26" s="40" t="s">
        <v>921</v>
      </c>
      <c r="R26" s="8" t="s">
        <v>944</v>
      </c>
    </row>
    <row r="27" customFormat="false" ht="39" hidden="false" customHeight="true" outlineLevel="0" collapsed="false">
      <c r="A27" s="31" t="s">
        <v>115</v>
      </c>
      <c r="B27" s="31" t="n">
        <v>1</v>
      </c>
      <c r="C27" s="31" t="s">
        <v>409</v>
      </c>
      <c r="D27" s="31" t="s">
        <v>275</v>
      </c>
      <c r="E27" s="31" t="s">
        <v>48</v>
      </c>
      <c r="F27" s="8" t="s">
        <v>926</v>
      </c>
      <c r="G27" s="39" t="n">
        <v>2</v>
      </c>
      <c r="H27" s="39" t="n">
        <v>1</v>
      </c>
      <c r="I27" s="39" t="n">
        <v>1</v>
      </c>
      <c r="J27" s="39" t="n">
        <v>2</v>
      </c>
      <c r="K27" s="39" t="n">
        <v>2</v>
      </c>
      <c r="L27" s="39" t="n">
        <v>2</v>
      </c>
      <c r="M27" s="40" t="n">
        <f aca="false">SUM(G27:L27)</f>
        <v>10</v>
      </c>
      <c r="N27" s="40" t="n">
        <f aca="false">IF(E27="Vulnerable",12,6)</f>
        <v>12</v>
      </c>
      <c r="O27" s="41" t="n">
        <f aca="false">M27/N27</f>
        <v>0.833333333333333</v>
      </c>
      <c r="P27" s="40" t="s">
        <v>921</v>
      </c>
      <c r="Q27" s="40" t="s">
        <v>921</v>
      </c>
      <c r="R27" s="8" t="s">
        <v>945</v>
      </c>
    </row>
    <row r="28" customFormat="false" ht="15" hidden="false" customHeight="true" outlineLevel="0" collapsed="false">
      <c r="A28" s="31" t="s">
        <v>115</v>
      </c>
      <c r="B28" s="31" t="n">
        <v>2</v>
      </c>
      <c r="C28" s="31" t="s">
        <v>410</v>
      </c>
      <c r="D28" s="31" t="s">
        <v>284</v>
      </c>
      <c r="E28" s="31" t="s">
        <v>48</v>
      </c>
      <c r="F28" s="8" t="s">
        <v>926</v>
      </c>
      <c r="G28" s="39" t="n">
        <v>2</v>
      </c>
      <c r="H28" s="39" t="n">
        <v>1</v>
      </c>
      <c r="I28" s="39" t="n">
        <v>1</v>
      </c>
      <c r="J28" s="39" t="n">
        <v>2</v>
      </c>
      <c r="K28" s="39" t="n">
        <v>2</v>
      </c>
      <c r="L28" s="39" t="n">
        <v>2</v>
      </c>
      <c r="M28" s="40" t="n">
        <f aca="false">SUM(G28:L28)</f>
        <v>10</v>
      </c>
      <c r="N28" s="40" t="n">
        <f aca="false">IF(E28="Vulnerable",12,6)</f>
        <v>12</v>
      </c>
      <c r="O28" s="41" t="n">
        <f aca="false">M28/N28</f>
        <v>0.833333333333333</v>
      </c>
      <c r="P28" s="40" t="s">
        <v>930</v>
      </c>
      <c r="Q28" s="40" t="s">
        <v>921</v>
      </c>
      <c r="R28" s="8" t="s">
        <v>946</v>
      </c>
    </row>
    <row r="29" customFormat="false" ht="15" hidden="false" customHeight="true" outlineLevel="0" collapsed="false">
      <c r="A29" s="31" t="s">
        <v>115</v>
      </c>
      <c r="B29" s="31" t="n">
        <v>3</v>
      </c>
      <c r="C29" s="31" t="s">
        <v>411</v>
      </c>
      <c r="D29" s="31" t="s">
        <v>284</v>
      </c>
      <c r="E29" s="31" t="s">
        <v>48</v>
      </c>
      <c r="F29" s="8" t="s">
        <v>926</v>
      </c>
      <c r="G29" s="39" t="n">
        <v>2</v>
      </c>
      <c r="H29" s="39" t="n">
        <v>1</v>
      </c>
      <c r="I29" s="39" t="n">
        <v>1</v>
      </c>
      <c r="J29" s="39" t="n">
        <v>2</v>
      </c>
      <c r="K29" s="39" t="n">
        <v>2</v>
      </c>
      <c r="L29" s="39" t="n">
        <v>2</v>
      </c>
      <c r="M29" s="40" t="n">
        <f aca="false">SUM(G29:L29)</f>
        <v>10</v>
      </c>
      <c r="N29" s="40" t="n">
        <f aca="false">IF(E29="Vulnerable",12,6)</f>
        <v>12</v>
      </c>
      <c r="O29" s="41" t="n">
        <f aca="false">M29/N29</f>
        <v>0.833333333333333</v>
      </c>
      <c r="P29" s="40" t="s">
        <v>930</v>
      </c>
      <c r="Q29" s="40" t="s">
        <v>921</v>
      </c>
      <c r="R29" s="8" t="s">
        <v>943</v>
      </c>
    </row>
    <row r="30" customFormat="false" ht="39" hidden="false" customHeight="true" outlineLevel="0" collapsed="false">
      <c r="A30" s="31" t="s">
        <v>123</v>
      </c>
      <c r="B30" s="31" t="n">
        <v>1</v>
      </c>
      <c r="C30" s="31" t="s">
        <v>412</v>
      </c>
      <c r="D30" s="31" t="s">
        <v>275</v>
      </c>
      <c r="E30" s="31" t="s">
        <v>48</v>
      </c>
      <c r="F30" s="8" t="s">
        <v>926</v>
      </c>
      <c r="G30" s="39" t="n">
        <v>2</v>
      </c>
      <c r="H30" s="39" t="n">
        <v>1</v>
      </c>
      <c r="I30" s="39" t="n">
        <v>2</v>
      </c>
      <c r="J30" s="39" t="n">
        <v>1</v>
      </c>
      <c r="K30" s="39" t="n">
        <v>2</v>
      </c>
      <c r="L30" s="39" t="n">
        <v>1</v>
      </c>
      <c r="M30" s="40" t="n">
        <f aca="false">SUM(G30:L30)</f>
        <v>9</v>
      </c>
      <c r="N30" s="40" t="n">
        <f aca="false">IF(E30="Vulnerable",12,6)</f>
        <v>12</v>
      </c>
      <c r="O30" s="41" t="n">
        <f aca="false">M30/N30</f>
        <v>0.75</v>
      </c>
      <c r="P30" s="40" t="s">
        <v>921</v>
      </c>
      <c r="Q30" s="40" t="s">
        <v>930</v>
      </c>
      <c r="R30" s="8" t="s">
        <v>947</v>
      </c>
    </row>
    <row r="31" customFormat="false" ht="15" hidden="false" customHeight="true" outlineLevel="0" collapsed="false">
      <c r="A31" s="31" t="s">
        <v>123</v>
      </c>
      <c r="B31" s="31" t="n">
        <v>2</v>
      </c>
      <c r="C31" s="31" t="s">
        <v>413</v>
      </c>
      <c r="D31" s="31" t="s">
        <v>284</v>
      </c>
      <c r="E31" s="31" t="s">
        <v>48</v>
      </c>
      <c r="F31" s="8" t="s">
        <v>926</v>
      </c>
      <c r="G31" s="39" t="n">
        <v>2</v>
      </c>
      <c r="H31" s="39" t="n">
        <v>1</v>
      </c>
      <c r="I31" s="39" t="n">
        <v>2</v>
      </c>
      <c r="J31" s="39" t="n">
        <v>2</v>
      </c>
      <c r="K31" s="39" t="n">
        <v>2</v>
      </c>
      <c r="L31" s="39" t="n">
        <v>2</v>
      </c>
      <c r="M31" s="40" t="n">
        <f aca="false">SUM(G31:L31)</f>
        <v>11</v>
      </c>
      <c r="N31" s="40" t="n">
        <f aca="false">IF(E31="Vulnerable",12,6)</f>
        <v>12</v>
      </c>
      <c r="O31" s="41" t="n">
        <f aca="false">M31/N31</f>
        <v>0.916666666666667</v>
      </c>
      <c r="P31" s="40" t="s">
        <v>930</v>
      </c>
      <c r="Q31" s="40" t="s">
        <v>921</v>
      </c>
      <c r="R31" s="8" t="s">
        <v>948</v>
      </c>
    </row>
    <row r="32" customFormat="false" ht="26.25" hidden="false" customHeight="true" outlineLevel="0" collapsed="false">
      <c r="A32" s="31" t="s">
        <v>123</v>
      </c>
      <c r="B32" s="31" t="n">
        <v>3</v>
      </c>
      <c r="C32" s="31" t="s">
        <v>414</v>
      </c>
      <c r="D32" s="31" t="s">
        <v>284</v>
      </c>
      <c r="E32" s="31" t="s">
        <v>48</v>
      </c>
      <c r="F32" s="8" t="s">
        <v>926</v>
      </c>
      <c r="G32" s="39" t="n">
        <v>2</v>
      </c>
      <c r="H32" s="39" t="n">
        <v>1</v>
      </c>
      <c r="I32" s="39" t="n">
        <v>2</v>
      </c>
      <c r="J32" s="39" t="n">
        <v>2</v>
      </c>
      <c r="K32" s="39" t="n">
        <v>2</v>
      </c>
      <c r="L32" s="39" t="n">
        <v>1</v>
      </c>
      <c r="M32" s="40" t="n">
        <f aca="false">SUM(G32:L32)</f>
        <v>10</v>
      </c>
      <c r="N32" s="40" t="n">
        <f aca="false">IF(E32="Vulnerable",12,6)</f>
        <v>12</v>
      </c>
      <c r="O32" s="41" t="n">
        <f aca="false">M32/N32</f>
        <v>0.833333333333333</v>
      </c>
      <c r="P32" s="40" t="s">
        <v>930</v>
      </c>
      <c r="Q32" s="40" t="s">
        <v>930</v>
      </c>
      <c r="R32" s="8" t="s">
        <v>949</v>
      </c>
    </row>
    <row r="33" customFormat="false" ht="39" hidden="false" customHeight="true" outlineLevel="0" collapsed="false">
      <c r="A33" s="31" t="s">
        <v>132</v>
      </c>
      <c r="B33" s="31" t="n">
        <v>1</v>
      </c>
      <c r="C33" s="31" t="s">
        <v>415</v>
      </c>
      <c r="D33" s="31" t="s">
        <v>275</v>
      </c>
      <c r="E33" s="31" t="s">
        <v>48</v>
      </c>
      <c r="F33" s="8" t="s">
        <v>926</v>
      </c>
      <c r="G33" s="39" t="n">
        <v>2</v>
      </c>
      <c r="H33" s="39" t="n">
        <v>1</v>
      </c>
      <c r="I33" s="39" t="n">
        <v>2</v>
      </c>
      <c r="J33" s="39" t="n">
        <v>2</v>
      </c>
      <c r="K33" s="39" t="n">
        <v>2</v>
      </c>
      <c r="L33" s="39" t="n">
        <v>2</v>
      </c>
      <c r="M33" s="40" t="n">
        <f aca="false">SUM(G33:L33)</f>
        <v>11</v>
      </c>
      <c r="N33" s="40" t="n">
        <f aca="false">IF(E33="Vulnerable",12,6)</f>
        <v>12</v>
      </c>
      <c r="O33" s="41" t="n">
        <f aca="false">M33/N33</f>
        <v>0.916666666666667</v>
      </c>
      <c r="P33" s="40" t="s">
        <v>930</v>
      </c>
      <c r="Q33" s="40" t="s">
        <v>921</v>
      </c>
      <c r="R33" s="8" t="s">
        <v>950</v>
      </c>
    </row>
    <row r="34" customFormat="false" ht="15" hidden="false" customHeight="true" outlineLevel="0" collapsed="false">
      <c r="A34" s="31" t="s">
        <v>132</v>
      </c>
      <c r="B34" s="31" t="n">
        <v>2</v>
      </c>
      <c r="C34" s="31" t="s">
        <v>416</v>
      </c>
      <c r="D34" s="31" t="s">
        <v>284</v>
      </c>
      <c r="E34" s="31" t="s">
        <v>48</v>
      </c>
      <c r="F34" s="8" t="s">
        <v>926</v>
      </c>
      <c r="G34" s="39" t="n">
        <v>2</v>
      </c>
      <c r="H34" s="39" t="n">
        <v>1</v>
      </c>
      <c r="I34" s="39" t="n">
        <v>2</v>
      </c>
      <c r="J34" s="39" t="n">
        <v>2</v>
      </c>
      <c r="K34" s="39" t="n">
        <v>2</v>
      </c>
      <c r="L34" s="39" t="n">
        <v>2</v>
      </c>
      <c r="M34" s="40" t="n">
        <f aca="false">SUM(G34:L34)</f>
        <v>11</v>
      </c>
      <c r="N34" s="40" t="n">
        <f aca="false">IF(E34="Vulnerable",12,6)</f>
        <v>12</v>
      </c>
      <c r="O34" s="41" t="n">
        <f aca="false">M34/N34</f>
        <v>0.916666666666667</v>
      </c>
      <c r="P34" s="40" t="s">
        <v>930</v>
      </c>
      <c r="Q34" s="40" t="s">
        <v>921</v>
      </c>
      <c r="R34" s="8" t="s">
        <v>951</v>
      </c>
    </row>
    <row r="35" customFormat="false" ht="15" hidden="false" customHeight="true" outlineLevel="0" collapsed="false">
      <c r="A35" s="31" t="s">
        <v>132</v>
      </c>
      <c r="B35" s="31" t="n">
        <v>3</v>
      </c>
      <c r="C35" s="31" t="s">
        <v>417</v>
      </c>
      <c r="D35" s="31" t="s">
        <v>284</v>
      </c>
      <c r="E35" s="31" t="s">
        <v>48</v>
      </c>
      <c r="F35" s="8" t="s">
        <v>926</v>
      </c>
      <c r="G35" s="39" t="n">
        <v>2</v>
      </c>
      <c r="H35" s="39" t="n">
        <v>2</v>
      </c>
      <c r="I35" s="39" t="n">
        <v>2</v>
      </c>
      <c r="J35" s="39" t="n">
        <v>2</v>
      </c>
      <c r="K35" s="39" t="n">
        <v>2</v>
      </c>
      <c r="L35" s="39" t="n">
        <v>2</v>
      </c>
      <c r="M35" s="40" t="n">
        <f aca="false">SUM(G35:L35)</f>
        <v>12</v>
      </c>
      <c r="N35" s="40" t="n">
        <f aca="false">IF(E35="Vulnerable",12,6)</f>
        <v>12</v>
      </c>
      <c r="O35" s="41" t="n">
        <f aca="false">M35/N35</f>
        <v>1</v>
      </c>
      <c r="P35" s="40" t="s">
        <v>921</v>
      </c>
      <c r="Q35" s="40" t="s">
        <v>921</v>
      </c>
      <c r="R35" s="8" t="s">
        <v>952</v>
      </c>
    </row>
    <row r="36" customFormat="false" ht="26.25" hidden="false" customHeight="true" outlineLevel="0" collapsed="false">
      <c r="A36" s="31" t="s">
        <v>139</v>
      </c>
      <c r="B36" s="31" t="n">
        <v>1</v>
      </c>
      <c r="C36" s="31" t="s">
        <v>418</v>
      </c>
      <c r="D36" s="31" t="s">
        <v>275</v>
      </c>
      <c r="E36" s="31" t="s">
        <v>919</v>
      </c>
      <c r="F36" s="8" t="s">
        <v>953</v>
      </c>
      <c r="G36" s="39" t="n">
        <v>0</v>
      </c>
      <c r="H36" s="39" t="n">
        <v>1</v>
      </c>
      <c r="I36" s="39" t="s">
        <v>624</v>
      </c>
      <c r="J36" s="39" t="s">
        <v>624</v>
      </c>
      <c r="K36" s="39" t="s">
        <v>624</v>
      </c>
      <c r="L36" s="39" t="n">
        <v>0</v>
      </c>
      <c r="M36" s="40" t="n">
        <f aca="false">SUM(G36:L36)</f>
        <v>1</v>
      </c>
      <c r="N36" s="40" t="n">
        <f aca="false">IF(E36="Vulnerable",12,6)</f>
        <v>6</v>
      </c>
      <c r="O36" s="41" t="n">
        <f aca="false">M36/N36</f>
        <v>0.166666666666667</v>
      </c>
      <c r="P36" s="40" t="s">
        <v>921</v>
      </c>
      <c r="Q36" s="40" t="s">
        <v>930</v>
      </c>
      <c r="R36" s="8" t="s">
        <v>954</v>
      </c>
    </row>
    <row r="37" customFormat="false" ht="26.25" hidden="false" customHeight="true" outlineLevel="0" collapsed="false">
      <c r="A37" s="31" t="s">
        <v>139</v>
      </c>
      <c r="B37" s="31" t="n">
        <v>2</v>
      </c>
      <c r="C37" s="31" t="s">
        <v>419</v>
      </c>
      <c r="D37" s="31" t="s">
        <v>284</v>
      </c>
      <c r="E37" s="31" t="s">
        <v>919</v>
      </c>
      <c r="F37" s="8" t="s">
        <v>955</v>
      </c>
      <c r="G37" s="39" t="n">
        <v>1</v>
      </c>
      <c r="H37" s="39" t="n">
        <v>1</v>
      </c>
      <c r="I37" s="39" t="s">
        <v>624</v>
      </c>
      <c r="J37" s="39" t="s">
        <v>624</v>
      </c>
      <c r="K37" s="39" t="s">
        <v>624</v>
      </c>
      <c r="L37" s="39" t="n">
        <v>1</v>
      </c>
      <c r="M37" s="40" t="n">
        <f aca="false">SUM(G37:L37)</f>
        <v>3</v>
      </c>
      <c r="N37" s="40" t="n">
        <f aca="false">IF(E37="Vulnerable",12,6)</f>
        <v>6</v>
      </c>
      <c r="O37" s="41" t="n">
        <f aca="false">M37/N37</f>
        <v>0.5</v>
      </c>
      <c r="P37" s="40" t="s">
        <v>921</v>
      </c>
      <c r="Q37" s="40" t="s">
        <v>930</v>
      </c>
      <c r="R37" s="8" t="s">
        <v>956</v>
      </c>
    </row>
    <row r="38" customFormat="false" ht="26.25" hidden="false" customHeight="true" outlineLevel="0" collapsed="false">
      <c r="A38" s="31" t="s">
        <v>139</v>
      </c>
      <c r="B38" s="31" t="n">
        <v>3</v>
      </c>
      <c r="C38" s="31" t="s">
        <v>420</v>
      </c>
      <c r="D38" s="31" t="s">
        <v>284</v>
      </c>
      <c r="E38" s="31" t="s">
        <v>919</v>
      </c>
      <c r="F38" s="8" t="s">
        <v>920</v>
      </c>
      <c r="G38" s="39" t="n">
        <v>2</v>
      </c>
      <c r="H38" s="39" t="n">
        <v>2</v>
      </c>
      <c r="I38" s="39" t="s">
        <v>624</v>
      </c>
      <c r="J38" s="39" t="s">
        <v>624</v>
      </c>
      <c r="K38" s="39" t="s">
        <v>624</v>
      </c>
      <c r="L38" s="39" t="n">
        <v>2</v>
      </c>
      <c r="M38" s="40" t="n">
        <f aca="false">SUM(G38:L38)</f>
        <v>6</v>
      </c>
      <c r="N38" s="40" t="n">
        <f aca="false">IF(E38="Vulnerable",12,6)</f>
        <v>6</v>
      </c>
      <c r="O38" s="41" t="n">
        <f aca="false">M38/N38</f>
        <v>1</v>
      </c>
      <c r="P38" s="40" t="s">
        <v>921</v>
      </c>
      <c r="Q38" s="40" t="s">
        <v>921</v>
      </c>
      <c r="R38" s="8" t="s">
        <v>957</v>
      </c>
    </row>
    <row r="39" customFormat="false" ht="15" hidden="false" customHeight="true" outlineLevel="0" collapsed="false">
      <c r="A39" s="30" t="s">
        <v>958</v>
      </c>
    </row>
    <row r="41" customFormat="false" ht="17.25" hidden="false" customHeight="true" outlineLevel="0" collapsed="false">
      <c r="A41" s="13" t="s">
        <v>678</v>
      </c>
    </row>
    <row r="42" customFormat="false" ht="15" hidden="false" customHeight="true" outlineLevel="0" collapsed="false">
      <c r="A42" s="42" t="s">
        <v>152</v>
      </c>
      <c r="G42" s="42" t="s">
        <v>907</v>
      </c>
      <c r="H42" s="42" t="s">
        <v>908</v>
      </c>
      <c r="I42" s="42" t="s">
        <v>909</v>
      </c>
      <c r="J42" s="42" t="s">
        <v>910</v>
      </c>
      <c r="K42" s="42" t="s">
        <v>911</v>
      </c>
      <c r="L42" s="42" t="s">
        <v>912</v>
      </c>
      <c r="O42" s="42" t="s">
        <v>915</v>
      </c>
    </row>
    <row r="43" customFormat="false" ht="15" hidden="false" customHeight="true" outlineLevel="0" collapsed="false">
      <c r="A43" s="15" t="s">
        <v>959</v>
      </c>
      <c r="G43" s="43" t="n">
        <f aca="false">AVERAGEIFS(G$2:G$38,$E$2:$E$38,"Vulnerable")</f>
        <v>1.87096774193548</v>
      </c>
      <c r="H43" s="43" t="n">
        <f aca="false">AVERAGEIFS(H$2:H$38,$E$2:$E$38,"Vulnerable")</f>
        <v>1.61290322580645</v>
      </c>
      <c r="I43" s="43" t="n">
        <f aca="false">AVERAGEIFS(I$2:I$38,$E$2:$E$38,"Vulnerable")</f>
        <v>1.7741935483871</v>
      </c>
      <c r="J43" s="43" t="n">
        <f aca="false">AVERAGEIFS(J$2:J$38,$E$2:$E$38,"Vulnerable")</f>
        <v>1.87096774193548</v>
      </c>
      <c r="K43" s="43" t="n">
        <f aca="false">AVERAGEIFS(K$2:K$38,$E$2:$E$38,"Vulnerable")</f>
        <v>1.96774193548387</v>
      </c>
      <c r="L43" s="43" t="n">
        <f aca="false">AVERAGEIFS(L$2:L$38,$E$2:$E$38,"Vulnerable")</f>
        <v>1.70967741935484</v>
      </c>
      <c r="O43" s="44" t="n">
        <f aca="false">AVERAGEIFS(O$2:O$38,$E$2:$E$38,"Vulnerable")</f>
        <v>0.900537634408602</v>
      </c>
    </row>
    <row r="44" customFormat="false" ht="15" hidden="false" customHeight="true" outlineLevel="0" collapsed="false">
      <c r="A44" s="15" t="s">
        <v>960</v>
      </c>
      <c r="G44" s="43" t="n">
        <f aca="false">AVERAGEIFS(G$2:G$38,$E$2:$E$38,"Not vulnerable")</f>
        <v>1.5</v>
      </c>
      <c r="H44" s="43" t="n">
        <f aca="false">AVERAGEIFS(H$2:H$38,$E$2:$E$38,"Not vulnerable")</f>
        <v>1.66666666666667</v>
      </c>
      <c r="I44" s="1" t="s">
        <v>624</v>
      </c>
      <c r="J44" s="1" t="s">
        <v>624</v>
      </c>
      <c r="K44" s="1" t="s">
        <v>624</v>
      </c>
      <c r="L44" s="43" t="n">
        <f aca="false">AVERAGEIFS(L$2:L$38,$E$2:$E$38,"Not vulnerable")</f>
        <v>1.5</v>
      </c>
      <c r="O44" s="44" t="n">
        <f aca="false">AVERAGEIFS(O$2:O$38,$E$2:$E$38,"Not vulnerable")</f>
        <v>0.777777777777778</v>
      </c>
    </row>
    <row r="45" customFormat="false" ht="15" hidden="false" customHeight="true" outlineLevel="0" collapsed="false">
      <c r="A45" s="15" t="s">
        <v>961</v>
      </c>
      <c r="G45" s="1" t="str">
        <f aca="false">COUNTIF(P$2:P$38,"Y")&amp;" of "&amp;COUNTA(P$2:P$38)</f>
        <v>9 of 37</v>
      </c>
    </row>
    <row r="46" customFormat="false" ht="15" hidden="false" customHeight="true" outlineLevel="0" collapsed="false">
      <c r="A46" s="15" t="s">
        <v>962</v>
      </c>
      <c r="G46" s="1" t="str">
        <f aca="false">COUNTIF(Q$2:Q$38,"Y")&amp;" of "&amp;COUNTA(Q$2:Q$38)</f>
        <v>5 of 37</v>
      </c>
    </row>
    <row r="47" customFormat="false" ht="15" hidden="false" customHeight="true" outlineLevel="0" collapsed="false">
      <c r="A47" s="15" t="s">
        <v>963</v>
      </c>
      <c r="G47" s="1" t="str">
        <f aca="false">SUMPRODUCT(($E$2:$E$38="Vulnerable")*(M$2:M$38=12))&amp;" of "&amp;COUNTIF($E$2:$E$38,"Vulnerable")</f>
        <v>13 of 31</v>
      </c>
    </row>
    <row r="49" customFormat="false" ht="17.25" hidden="false" customHeight="true" outlineLevel="0" collapsed="false">
      <c r="A49" s="13" t="s">
        <v>964</v>
      </c>
    </row>
    <row r="50" customFormat="false" ht="15" hidden="false" customHeight="true" outlineLevel="0" collapsed="false">
      <c r="A50" s="42" t="s">
        <v>185</v>
      </c>
      <c r="B50" s="42" t="s">
        <v>685</v>
      </c>
      <c r="C50" s="42" t="s">
        <v>965</v>
      </c>
      <c r="D50" s="42" t="s">
        <v>966</v>
      </c>
      <c r="E50" s="42" t="s">
        <v>967</v>
      </c>
      <c r="F50" s="42" t="s">
        <v>968</v>
      </c>
      <c r="G50" s="42" t="s">
        <v>969</v>
      </c>
      <c r="H50" s="42" t="s">
        <v>970</v>
      </c>
    </row>
    <row r="51" customFormat="false" ht="15" hidden="false" customHeight="true" outlineLevel="0" collapsed="false">
      <c r="A51" s="15" t="s">
        <v>32</v>
      </c>
      <c r="B51" s="1" t="n">
        <f aca="false">COUNTIF($A$2:$A$38,A51)</f>
        <v>3</v>
      </c>
      <c r="C51" s="43" t="n">
        <f aca="false">AVERAGEIF($A$2:$A$38,A51,G$2:G$38)</f>
        <v>2</v>
      </c>
      <c r="D51" s="43" t="n">
        <f aca="false">AVERAGEIF($A$2:$A$38,A51,H$2:H$38)</f>
        <v>2</v>
      </c>
      <c r="E51" s="43" t="n">
        <f aca="false">AVERAGEIF($A$2:$A$38,A51,L$2:L$38)</f>
        <v>2</v>
      </c>
      <c r="F51" s="43" t="str">
        <f aca="false">IFERROR(AVERAGEIF($A$2:$A$38,A51,J$2:J$38),"n/a")</f>
        <v>n/a</v>
      </c>
      <c r="G51" s="44" t="n">
        <f aca="false">AVERAGEIF($A$2:$A$38,A51,O$2:O$38)</f>
        <v>1</v>
      </c>
      <c r="H51" s="44" t="n">
        <f aca="false">_xlfn.MINIFS(O$2:O$38,$A$2:$A$38,A51)</f>
        <v>1</v>
      </c>
    </row>
    <row r="52" customFormat="false" ht="15" hidden="false" customHeight="true" outlineLevel="0" collapsed="false">
      <c r="A52" s="15" t="s">
        <v>45</v>
      </c>
      <c r="B52" s="1" t="n">
        <f aca="false">COUNTIF($A$2:$A$38,A52)</f>
        <v>3</v>
      </c>
      <c r="C52" s="43" t="n">
        <f aca="false">AVERAGEIF($A$2:$A$38,A52,G$2:G$38)</f>
        <v>2</v>
      </c>
      <c r="D52" s="43" t="n">
        <f aca="false">AVERAGEIF($A$2:$A$38,A52,H$2:H$38)</f>
        <v>2</v>
      </c>
      <c r="E52" s="43" t="n">
        <f aca="false">AVERAGEIF($A$2:$A$38,A52,L$2:L$38)</f>
        <v>2</v>
      </c>
      <c r="F52" s="43" t="n">
        <f aca="false">IFERROR(AVERAGEIF($A$2:$A$38,A52,J$2:J$38),"n/a")</f>
        <v>2</v>
      </c>
      <c r="G52" s="44" t="n">
        <f aca="false">AVERAGEIF($A$2:$A$38,A52,O$2:O$38)</f>
        <v>1</v>
      </c>
      <c r="H52" s="44" t="n">
        <f aca="false">_xlfn.MINIFS(O$2:O$38,$A$2:$A$38,A52)</f>
        <v>1</v>
      </c>
    </row>
    <row r="53" customFormat="false" ht="15" hidden="false" customHeight="true" outlineLevel="0" collapsed="false">
      <c r="A53" s="15" t="s">
        <v>58</v>
      </c>
      <c r="B53" s="1" t="n">
        <f aca="false">COUNTIF($A$2:$A$38,A53)</f>
        <v>3</v>
      </c>
      <c r="C53" s="43" t="n">
        <f aca="false">AVERAGEIF($A$2:$A$38,A53,G$2:G$38)</f>
        <v>2</v>
      </c>
      <c r="D53" s="43" t="n">
        <f aca="false">AVERAGEIF($A$2:$A$38,A53,H$2:H$38)</f>
        <v>2</v>
      </c>
      <c r="E53" s="43" t="n">
        <f aca="false">AVERAGEIF($A$2:$A$38,A53,L$2:L$38)</f>
        <v>1.66666666666667</v>
      </c>
      <c r="F53" s="43" t="n">
        <f aca="false">IFERROR(AVERAGEIF($A$2:$A$38,A53,J$2:J$38),"n/a")</f>
        <v>2</v>
      </c>
      <c r="G53" s="44" t="n">
        <f aca="false">AVERAGEIF($A$2:$A$38,A53,O$2:O$38)</f>
        <v>0.972222222222222</v>
      </c>
      <c r="H53" s="44" t="n">
        <f aca="false">_xlfn.MINIFS(O$2:O$38,$A$2:$A$38,A53)</f>
        <v>0.916666666666667</v>
      </c>
    </row>
    <row r="54" customFormat="false" ht="15" hidden="false" customHeight="true" outlineLevel="0" collapsed="false">
      <c r="A54" s="15" t="s">
        <v>68</v>
      </c>
      <c r="B54" s="1" t="n">
        <f aca="false">COUNTIF($A$2:$A$38,A54)</f>
        <v>3</v>
      </c>
      <c r="C54" s="43" t="n">
        <f aca="false">AVERAGEIF($A$2:$A$38,A54,G$2:G$38)</f>
        <v>2</v>
      </c>
      <c r="D54" s="43" t="n">
        <f aca="false">AVERAGEIF($A$2:$A$38,A54,H$2:H$38)</f>
        <v>2</v>
      </c>
      <c r="E54" s="43" t="n">
        <f aca="false">AVERAGEIF($A$2:$A$38,A54,L$2:L$38)</f>
        <v>2</v>
      </c>
      <c r="F54" s="43" t="n">
        <f aca="false">IFERROR(AVERAGEIF($A$2:$A$38,A54,J$2:J$38),"n/a")</f>
        <v>1</v>
      </c>
      <c r="G54" s="44" t="n">
        <f aca="false">AVERAGEIF($A$2:$A$38,A54,O$2:O$38)</f>
        <v>0.833333333333333</v>
      </c>
      <c r="H54" s="44" t="n">
        <f aca="false">_xlfn.MINIFS(O$2:O$38,$A$2:$A$38,A54)</f>
        <v>0.833333333333333</v>
      </c>
    </row>
    <row r="55" customFormat="false" ht="15" hidden="false" customHeight="true" outlineLevel="0" collapsed="false">
      <c r="A55" s="15" t="s">
        <v>78</v>
      </c>
      <c r="B55" s="1" t="n">
        <f aca="false">COUNTIF($A$2:$A$38,A55)</f>
        <v>3</v>
      </c>
      <c r="C55" s="43" t="n">
        <f aca="false">AVERAGEIF($A$2:$A$38,A55,G$2:G$38)</f>
        <v>2</v>
      </c>
      <c r="D55" s="43" t="n">
        <f aca="false">AVERAGEIF($A$2:$A$38,A55,H$2:H$38)</f>
        <v>2</v>
      </c>
      <c r="E55" s="43" t="n">
        <f aca="false">AVERAGEIF($A$2:$A$38,A55,L$2:L$38)</f>
        <v>2</v>
      </c>
      <c r="F55" s="43" t="n">
        <f aca="false">IFERROR(AVERAGEIF($A$2:$A$38,A55,J$2:J$38),"n/a")</f>
        <v>2</v>
      </c>
      <c r="G55" s="44" t="n">
        <f aca="false">AVERAGEIF($A$2:$A$38,A55,O$2:O$38)</f>
        <v>1</v>
      </c>
      <c r="H55" s="44" t="n">
        <f aca="false">_xlfn.MINIFS(O$2:O$38,$A$2:$A$38,A55)</f>
        <v>1</v>
      </c>
    </row>
    <row r="56" customFormat="false" ht="15" hidden="false" customHeight="true" outlineLevel="0" collapsed="false">
      <c r="A56" s="15" t="s">
        <v>87</v>
      </c>
      <c r="B56" s="1" t="n">
        <f aca="false">COUNTIF($A$2:$A$38,A56)</f>
        <v>3</v>
      </c>
      <c r="C56" s="43" t="n">
        <f aca="false">AVERAGEIF($A$2:$A$38,A56,G$2:G$38)</f>
        <v>2</v>
      </c>
      <c r="D56" s="43" t="n">
        <f aca="false">AVERAGEIF($A$2:$A$38,A56,H$2:H$38)</f>
        <v>2</v>
      </c>
      <c r="E56" s="43" t="n">
        <f aca="false">AVERAGEIF($A$2:$A$38,A56,L$2:L$38)</f>
        <v>2</v>
      </c>
      <c r="F56" s="43" t="n">
        <f aca="false">IFERROR(AVERAGEIF($A$2:$A$38,A56,J$2:J$38),"n/a")</f>
        <v>2</v>
      </c>
      <c r="G56" s="44" t="n">
        <f aca="false">AVERAGEIF($A$2:$A$38,A56,O$2:O$38)</f>
        <v>1</v>
      </c>
      <c r="H56" s="44" t="n">
        <f aca="false">_xlfn.MINIFS(O$2:O$38,$A$2:$A$38,A56)</f>
        <v>1</v>
      </c>
    </row>
    <row r="57" customFormat="false" ht="15" hidden="false" customHeight="true" outlineLevel="0" collapsed="false">
      <c r="A57" s="15" t="s">
        <v>96</v>
      </c>
      <c r="B57" s="1" t="n">
        <f aca="false">COUNTIF($A$2:$A$38,A57)</f>
        <v>3</v>
      </c>
      <c r="C57" s="43" t="n">
        <f aca="false">AVERAGEIF($A$2:$A$38,A57,G$2:G$38)</f>
        <v>2</v>
      </c>
      <c r="D57" s="43" t="n">
        <f aca="false">AVERAGEIF($A$2:$A$38,A57,H$2:H$38)</f>
        <v>1</v>
      </c>
      <c r="E57" s="43" t="n">
        <f aca="false">AVERAGEIF($A$2:$A$38,A57,L$2:L$38)</f>
        <v>2</v>
      </c>
      <c r="F57" s="43" t="n">
        <f aca="false">IFERROR(AVERAGEIF($A$2:$A$38,A57,J$2:J$38),"n/a")</f>
        <v>2</v>
      </c>
      <c r="G57" s="44" t="n">
        <f aca="false">AVERAGEIF($A$2:$A$38,A57,O$2:O$38)</f>
        <v>0.916666666666667</v>
      </c>
      <c r="H57" s="44" t="n">
        <f aca="false">_xlfn.MINIFS(O$2:O$38,$A$2:$A$38,A57)</f>
        <v>0.916666666666667</v>
      </c>
    </row>
    <row r="58" customFormat="false" ht="15" hidden="false" customHeight="true" outlineLevel="0" collapsed="false">
      <c r="A58" s="15" t="s">
        <v>106</v>
      </c>
      <c r="B58" s="1" t="n">
        <f aca="false">COUNTIF($A$2:$A$38,A58)</f>
        <v>4</v>
      </c>
      <c r="C58" s="43" t="n">
        <f aca="false">AVERAGEIF($A$2:$A$38,A58,G$2:G$38)</f>
        <v>1</v>
      </c>
      <c r="D58" s="43" t="n">
        <f aca="false">AVERAGEIF($A$2:$A$38,A58,H$2:H$38)</f>
        <v>1.75</v>
      </c>
      <c r="E58" s="43" t="n">
        <f aca="false">AVERAGEIF($A$2:$A$38,A58,L$2:L$38)</f>
        <v>0.5</v>
      </c>
      <c r="F58" s="43" t="n">
        <f aca="false">IFERROR(AVERAGEIF($A$2:$A$38,A58,J$2:J$38),"n/a")</f>
        <v>2</v>
      </c>
      <c r="G58" s="44" t="n">
        <f aca="false">AVERAGEIF($A$2:$A$38,A58,O$2:O$38)</f>
        <v>0.729166666666667</v>
      </c>
      <c r="H58" s="44" t="n">
        <f aca="false">_xlfn.MINIFS(O$2:O$38,$A$2:$A$38,A58)</f>
        <v>0.416666666666667</v>
      </c>
    </row>
    <row r="59" customFormat="false" ht="15" hidden="false" customHeight="true" outlineLevel="0" collapsed="false">
      <c r="A59" s="15" t="s">
        <v>115</v>
      </c>
      <c r="B59" s="1" t="n">
        <f aca="false">COUNTIF($A$2:$A$38,A59)</f>
        <v>3</v>
      </c>
      <c r="C59" s="43" t="n">
        <f aca="false">AVERAGEIF($A$2:$A$38,A59,G$2:G$38)</f>
        <v>2</v>
      </c>
      <c r="D59" s="43" t="n">
        <f aca="false">AVERAGEIF($A$2:$A$38,A59,H$2:H$38)</f>
        <v>1</v>
      </c>
      <c r="E59" s="43" t="n">
        <f aca="false">AVERAGEIF($A$2:$A$38,A59,L$2:L$38)</f>
        <v>2</v>
      </c>
      <c r="F59" s="43" t="n">
        <f aca="false">IFERROR(AVERAGEIF($A$2:$A$38,A59,J$2:J$38),"n/a")</f>
        <v>2</v>
      </c>
      <c r="G59" s="44" t="n">
        <f aca="false">AVERAGEIF($A$2:$A$38,A59,O$2:O$38)</f>
        <v>0.833333333333333</v>
      </c>
      <c r="H59" s="44" t="n">
        <f aca="false">_xlfn.MINIFS(O$2:O$38,$A$2:$A$38,A59)</f>
        <v>0.833333333333333</v>
      </c>
    </row>
    <row r="60" customFormat="false" ht="15" hidden="false" customHeight="true" outlineLevel="0" collapsed="false">
      <c r="A60" s="15" t="s">
        <v>123</v>
      </c>
      <c r="B60" s="1" t="n">
        <f aca="false">COUNTIF($A$2:$A$38,A60)</f>
        <v>3</v>
      </c>
      <c r="C60" s="43" t="n">
        <f aca="false">AVERAGEIF($A$2:$A$38,A60,G$2:G$38)</f>
        <v>2</v>
      </c>
      <c r="D60" s="43" t="n">
        <f aca="false">AVERAGEIF($A$2:$A$38,A60,H$2:H$38)</f>
        <v>1</v>
      </c>
      <c r="E60" s="43" t="n">
        <f aca="false">AVERAGEIF($A$2:$A$38,A60,L$2:L$38)</f>
        <v>1.33333333333333</v>
      </c>
      <c r="F60" s="43" t="n">
        <f aca="false">IFERROR(AVERAGEIF($A$2:$A$38,A60,J$2:J$38),"n/a")</f>
        <v>1.66666666666667</v>
      </c>
      <c r="G60" s="44" t="n">
        <f aca="false">AVERAGEIF($A$2:$A$38,A60,O$2:O$38)</f>
        <v>0.833333333333333</v>
      </c>
      <c r="H60" s="44" t="n">
        <f aca="false">_xlfn.MINIFS(O$2:O$38,$A$2:$A$38,A60)</f>
        <v>0.75</v>
      </c>
    </row>
    <row r="61" customFormat="false" ht="15" hidden="false" customHeight="true" outlineLevel="0" collapsed="false">
      <c r="A61" s="15" t="s">
        <v>132</v>
      </c>
      <c r="B61" s="1" t="n">
        <f aca="false">COUNTIF($A$2:$A$38,A61)</f>
        <v>3</v>
      </c>
      <c r="C61" s="43" t="n">
        <f aca="false">AVERAGEIF($A$2:$A$38,A61,G$2:G$38)</f>
        <v>2</v>
      </c>
      <c r="D61" s="43" t="n">
        <f aca="false">AVERAGEIF($A$2:$A$38,A61,H$2:H$38)</f>
        <v>1.33333333333333</v>
      </c>
      <c r="E61" s="43" t="n">
        <f aca="false">AVERAGEIF($A$2:$A$38,A61,L$2:L$38)</f>
        <v>2</v>
      </c>
      <c r="F61" s="43" t="n">
        <f aca="false">IFERROR(AVERAGEIF($A$2:$A$38,A61,J$2:J$38),"n/a")</f>
        <v>2</v>
      </c>
      <c r="G61" s="44" t="n">
        <f aca="false">AVERAGEIF($A$2:$A$38,A61,O$2:O$38)</f>
        <v>0.944444444444444</v>
      </c>
      <c r="H61" s="44" t="n">
        <f aca="false">_xlfn.MINIFS(O$2:O$38,$A$2:$A$38,A61)</f>
        <v>0.916666666666667</v>
      </c>
    </row>
    <row r="62" customFormat="false" ht="15" hidden="false" customHeight="true" outlineLevel="0" collapsed="false">
      <c r="A62" s="15" t="s">
        <v>139</v>
      </c>
      <c r="B62" s="1" t="n">
        <f aca="false">COUNTIF($A$2:$A$38,A62)</f>
        <v>3</v>
      </c>
      <c r="C62" s="43" t="n">
        <f aca="false">AVERAGEIF($A$2:$A$38,A62,G$2:G$38)</f>
        <v>1</v>
      </c>
      <c r="D62" s="43" t="n">
        <f aca="false">AVERAGEIF($A$2:$A$38,A62,H$2:H$38)</f>
        <v>1.33333333333333</v>
      </c>
      <c r="E62" s="43" t="n">
        <f aca="false">AVERAGEIF($A$2:$A$38,A62,L$2:L$38)</f>
        <v>1</v>
      </c>
      <c r="F62" s="43" t="str">
        <f aca="false">IFERROR(AVERAGEIF($A$2:$A$38,A62,J$2:J$38),"n/a")</f>
        <v>n/a</v>
      </c>
      <c r="G62" s="44" t="n">
        <f aca="false">AVERAGEIF($A$2:$A$38,A62,O$2:O$38)</f>
        <v>0.555555555555556</v>
      </c>
      <c r="H62" s="44" t="n">
        <f aca="false">_xlfn.MINIFS(O$2:O$38,$A$2:$A$38,A62)</f>
        <v>0.166666666666667</v>
      </c>
    </row>
  </sheetData>
  <autoFilter ref="A1:R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9" min="4" style="1" width="7"/>
    <col collapsed="false" customWidth="true" hidden="false" outlineLevel="0" max="10" min="10" style="1" width="10"/>
    <col collapsed="false" customWidth="true" hidden="false" outlineLevel="0" max="15" min="11" style="1" width="6"/>
    <col collapsed="false" customWidth="true" hidden="false" outlineLevel="0" max="16" min="16" style="1" width="10"/>
    <col collapsed="false" customWidth="true" hidden="false" outlineLevel="0" max="17" min="17" style="1" width="11"/>
    <col collapsed="false" customWidth="true" hidden="false" outlineLevel="0" max="18" min="18" style="1" width="10"/>
  </cols>
  <sheetData>
    <row r="1" customFormat="false" ht="17.25" hidden="false" customHeight="true" outlineLevel="0" collapsed="false">
      <c r="A1" s="13" t="s">
        <v>971</v>
      </c>
    </row>
    <row r="2" customFormat="false" ht="45" hidden="false" customHeight="true" outlineLevel="0" collapsed="false">
      <c r="A2" s="18" t="s">
        <v>972</v>
      </c>
      <c r="B2" s="18"/>
      <c r="C2" s="18"/>
      <c r="D2" s="18"/>
      <c r="E2" s="18"/>
      <c r="F2" s="18"/>
      <c r="G2" s="18"/>
      <c r="H2" s="18"/>
      <c r="I2" s="18"/>
      <c r="J2" s="18"/>
      <c r="K2" s="18"/>
      <c r="L2" s="18"/>
      <c r="M2" s="18"/>
      <c r="N2" s="18"/>
      <c r="O2" s="18"/>
      <c r="P2" s="18"/>
      <c r="Q2" s="18"/>
      <c r="R2" s="18"/>
    </row>
    <row r="3" customFormat="false" ht="15" hidden="false" customHeight="true" outlineLevel="0" collapsed="false">
      <c r="A3" s="18"/>
      <c r="B3" s="18"/>
      <c r="C3" s="18"/>
      <c r="D3" s="18"/>
      <c r="E3" s="18"/>
      <c r="F3" s="18"/>
      <c r="G3" s="18"/>
      <c r="H3" s="18"/>
      <c r="I3" s="18"/>
      <c r="J3" s="18"/>
      <c r="K3" s="18"/>
      <c r="L3" s="18"/>
      <c r="M3" s="18"/>
      <c r="N3" s="18"/>
      <c r="O3" s="18"/>
      <c r="P3" s="18"/>
      <c r="Q3" s="18"/>
      <c r="R3" s="18"/>
    </row>
    <row r="4" customFormat="false" ht="15" hidden="false" customHeight="true" outlineLevel="0" collapsed="false">
      <c r="A4" s="30" t="s">
        <v>973</v>
      </c>
    </row>
    <row r="6" customFormat="false" ht="26.25" hidden="false" customHeight="true" outlineLevel="0" collapsed="false">
      <c r="A6" s="19" t="s">
        <v>185</v>
      </c>
      <c r="B6" s="19" t="s">
        <v>378</v>
      </c>
      <c r="C6" s="19" t="s">
        <v>264</v>
      </c>
      <c r="D6" s="19" t="s">
        <v>974</v>
      </c>
      <c r="E6" s="19" t="s">
        <v>975</v>
      </c>
      <c r="F6" s="19" t="s">
        <v>976</v>
      </c>
      <c r="G6" s="19" t="s">
        <v>977</v>
      </c>
      <c r="H6" s="19" t="s">
        <v>978</v>
      </c>
      <c r="I6" s="19" t="s">
        <v>979</v>
      </c>
      <c r="J6" s="19" t="s">
        <v>980</v>
      </c>
      <c r="K6" s="19" t="s">
        <v>908</v>
      </c>
      <c r="L6" s="19" t="s">
        <v>909</v>
      </c>
      <c r="M6" s="19" t="s">
        <v>910</v>
      </c>
      <c r="N6" s="19" t="s">
        <v>911</v>
      </c>
      <c r="O6" s="19" t="s">
        <v>912</v>
      </c>
      <c r="P6" s="19" t="s">
        <v>981</v>
      </c>
      <c r="Q6" s="19" t="s">
        <v>982</v>
      </c>
      <c r="R6" s="19" t="s">
        <v>983</v>
      </c>
    </row>
    <row r="7" customFormat="false" ht="15" hidden="false" customHeight="true" outlineLevel="0" collapsed="false">
      <c r="A7" s="45" t="s">
        <v>45</v>
      </c>
      <c r="B7" s="45" t="n">
        <v>1</v>
      </c>
      <c r="C7" s="45" t="str">
        <f aca="false">'AI Quality Scoring'!C5</f>
        <v>38404584887</v>
      </c>
      <c r="D7" s="46"/>
      <c r="E7" s="46"/>
      <c r="F7" s="46"/>
      <c r="G7" s="46"/>
      <c r="H7" s="46"/>
      <c r="I7" s="46"/>
      <c r="J7" s="47" t="n">
        <f aca="false">'AI Quality Scoring'!G5</f>
        <v>2</v>
      </c>
      <c r="K7" s="47" t="n">
        <f aca="false">'AI Quality Scoring'!H5</f>
        <v>2</v>
      </c>
      <c r="L7" s="47" t="n">
        <f aca="false">'AI Quality Scoring'!I5</f>
        <v>2</v>
      </c>
      <c r="M7" s="47" t="n">
        <f aca="false">'AI Quality Scoring'!J5</f>
        <v>2</v>
      </c>
      <c r="N7" s="47" t="n">
        <f aca="false">'AI Quality Scoring'!K5</f>
        <v>2</v>
      </c>
      <c r="O7" s="47" t="n">
        <f aca="false">'AI Quality Scoring'!L5</f>
        <v>2</v>
      </c>
      <c r="P7" s="45" t="n">
        <f aca="false">IF(AND(ISNUMBER(D7),ISNUMBER(J7)),--(D7=J7),0)+IF(AND(ISNUMBER(E7),ISNUMBER(K7)),--(E7=K7),0)+IF(AND(ISNUMBER(F7),ISNUMBER(L7)),--(F7=L7),0)+IF(AND(ISNUMBER(G7),ISNUMBER(M7)),--(G7=M7),0)+IF(AND(ISNUMBER(H7),ISNUMBER(N7)),--(H7=N7),0)+IF(AND(ISNUMBER(I7),ISNUMBER(O7)),--(I7=O7),0)</f>
        <v>0</v>
      </c>
      <c r="Q7" s="45" t="n">
        <f aca="false">--AND(ISNUMBER(D7),ISNUMBER(J7))+--AND(ISNUMBER(E7),ISNUMBER(K7))+--AND(ISNUMBER(F7),ISNUMBER(L7))+--AND(ISNUMBER(G7),ISNUMBER(M7))+--AND(ISNUMBER(H7),ISNUMBER(N7))+--AND(ISNUMBER(I7),ISNUMBER(O7))</f>
        <v>0</v>
      </c>
      <c r="R7" s="45" t="n">
        <f aca="false">IF(AND(ISNUMBER(D7),ISNUMBER(J7)),--(ABS(D7-J7)&lt;=1),0)+IF(AND(ISNUMBER(E7),ISNUMBER(K7)),--(ABS(E7-K7)&lt;=1),0)+IF(AND(ISNUMBER(F7),ISNUMBER(L7)),--(ABS(F7-L7)&lt;=1),0)+IF(AND(ISNUMBER(G7),ISNUMBER(M7)),--(ABS(G7-M7)&lt;=1),0)+IF(AND(ISNUMBER(H7),ISNUMBER(N7)),--(ABS(H7-N7)&lt;=1),0)+IF(AND(ISNUMBER(I7),ISNUMBER(O7)),--(ABS(I7-O7)&lt;=1),0)</f>
        <v>0</v>
      </c>
    </row>
    <row r="8" customFormat="false" ht="15" hidden="false" customHeight="true" outlineLevel="0" collapsed="false">
      <c r="A8" s="45" t="s">
        <v>68</v>
      </c>
      <c r="B8" s="45" t="n">
        <v>2</v>
      </c>
      <c r="C8" s="45" t="str">
        <f aca="false">'AI Quality Scoring'!C12</f>
        <v>38405031009</v>
      </c>
      <c r="D8" s="46"/>
      <c r="E8" s="46"/>
      <c r="F8" s="46"/>
      <c r="G8" s="46"/>
      <c r="H8" s="46"/>
      <c r="I8" s="46"/>
      <c r="J8" s="47" t="n">
        <f aca="false">'AI Quality Scoring'!G12</f>
        <v>2</v>
      </c>
      <c r="K8" s="47" t="n">
        <f aca="false">'AI Quality Scoring'!H12</f>
        <v>2</v>
      </c>
      <c r="L8" s="47" t="n">
        <f aca="false">'AI Quality Scoring'!I12</f>
        <v>1</v>
      </c>
      <c r="M8" s="47" t="n">
        <f aca="false">'AI Quality Scoring'!J12</f>
        <v>1</v>
      </c>
      <c r="N8" s="47" t="n">
        <f aca="false">'AI Quality Scoring'!K12</f>
        <v>2</v>
      </c>
      <c r="O8" s="47" t="n">
        <f aca="false">'AI Quality Scoring'!L12</f>
        <v>2</v>
      </c>
      <c r="P8" s="45" t="n">
        <f aca="false">IF(AND(ISNUMBER(D8),ISNUMBER(J8)),--(D8=J8),0)+IF(AND(ISNUMBER(E8),ISNUMBER(K8)),--(E8=K8),0)+IF(AND(ISNUMBER(F8),ISNUMBER(L8)),--(F8=L8),0)+IF(AND(ISNUMBER(G8),ISNUMBER(M8)),--(G8=M8),0)+IF(AND(ISNUMBER(H8),ISNUMBER(N8)),--(H8=N8),0)+IF(AND(ISNUMBER(I8),ISNUMBER(O8)),--(I8=O8),0)</f>
        <v>0</v>
      </c>
      <c r="Q8" s="45" t="n">
        <f aca="false">--AND(ISNUMBER(D8),ISNUMBER(J8))+--AND(ISNUMBER(E8),ISNUMBER(K8))+--AND(ISNUMBER(F8),ISNUMBER(L8))+--AND(ISNUMBER(G8),ISNUMBER(M8))+--AND(ISNUMBER(H8),ISNUMBER(N8))+--AND(ISNUMBER(I8),ISNUMBER(O8))</f>
        <v>0</v>
      </c>
      <c r="R8" s="45" t="n">
        <f aca="false">IF(AND(ISNUMBER(D8),ISNUMBER(J8)),--(ABS(D8-J8)&lt;=1),0)+IF(AND(ISNUMBER(E8),ISNUMBER(K8)),--(ABS(E8-K8)&lt;=1),0)+IF(AND(ISNUMBER(F8),ISNUMBER(L8)),--(ABS(F8-L8)&lt;=1),0)+IF(AND(ISNUMBER(G8),ISNUMBER(M8)),--(ABS(G8-M8)&lt;=1),0)+IF(AND(ISNUMBER(H8),ISNUMBER(N8)),--(ABS(H8-N8)&lt;=1),0)+IF(AND(ISNUMBER(I8),ISNUMBER(O8)),--(ABS(I8-O8)&lt;=1),0)</f>
        <v>0</v>
      </c>
    </row>
    <row r="9" customFormat="false" ht="15" hidden="false" customHeight="true" outlineLevel="0" collapsed="false">
      <c r="A9" s="45" t="s">
        <v>96</v>
      </c>
      <c r="B9" s="45" t="n">
        <v>1</v>
      </c>
      <c r="C9" s="45" t="str">
        <f aca="false">'AI Quality Scoring'!C20</f>
        <v>38404600206</v>
      </c>
      <c r="D9" s="46"/>
      <c r="E9" s="46"/>
      <c r="F9" s="46"/>
      <c r="G9" s="46"/>
      <c r="H9" s="46"/>
      <c r="I9" s="46"/>
      <c r="J9" s="47" t="n">
        <f aca="false">'AI Quality Scoring'!G20</f>
        <v>2</v>
      </c>
      <c r="K9" s="47" t="n">
        <f aca="false">'AI Quality Scoring'!H20</f>
        <v>1</v>
      </c>
      <c r="L9" s="47" t="n">
        <f aca="false">'AI Quality Scoring'!I20</f>
        <v>2</v>
      </c>
      <c r="M9" s="47" t="n">
        <f aca="false">'AI Quality Scoring'!J20</f>
        <v>2</v>
      </c>
      <c r="N9" s="47" t="n">
        <f aca="false">'AI Quality Scoring'!K20</f>
        <v>2</v>
      </c>
      <c r="O9" s="47" t="n">
        <f aca="false">'AI Quality Scoring'!L20</f>
        <v>2</v>
      </c>
      <c r="P9" s="45" t="n">
        <f aca="false">IF(AND(ISNUMBER(D9),ISNUMBER(J9)),--(D9=J9),0)+IF(AND(ISNUMBER(E9),ISNUMBER(K9)),--(E9=K9),0)+IF(AND(ISNUMBER(F9),ISNUMBER(L9)),--(F9=L9),0)+IF(AND(ISNUMBER(G9),ISNUMBER(M9)),--(G9=M9),0)+IF(AND(ISNUMBER(H9),ISNUMBER(N9)),--(H9=N9),0)+IF(AND(ISNUMBER(I9),ISNUMBER(O9)),--(I9=O9),0)</f>
        <v>0</v>
      </c>
      <c r="Q9" s="45" t="n">
        <f aca="false">--AND(ISNUMBER(D9),ISNUMBER(J9))+--AND(ISNUMBER(E9),ISNUMBER(K9))+--AND(ISNUMBER(F9),ISNUMBER(L9))+--AND(ISNUMBER(G9),ISNUMBER(M9))+--AND(ISNUMBER(H9),ISNUMBER(N9))+--AND(ISNUMBER(I9),ISNUMBER(O9))</f>
        <v>0</v>
      </c>
      <c r="R9" s="45" t="n">
        <f aca="false">IF(AND(ISNUMBER(D9),ISNUMBER(J9)),--(ABS(D9-J9)&lt;=1),0)+IF(AND(ISNUMBER(E9),ISNUMBER(K9)),--(ABS(E9-K9)&lt;=1),0)+IF(AND(ISNUMBER(F9),ISNUMBER(L9)),--(ABS(F9-L9)&lt;=1),0)+IF(AND(ISNUMBER(G9),ISNUMBER(M9)),--(ABS(G9-M9)&lt;=1),0)+IF(AND(ISNUMBER(H9),ISNUMBER(N9)),--(ABS(H9-N9)&lt;=1),0)+IF(AND(ISNUMBER(I9),ISNUMBER(O9)),--(ABS(I9-O9)&lt;=1),0)</f>
        <v>0</v>
      </c>
    </row>
    <row r="10" customFormat="false" ht="15" hidden="false" customHeight="true" outlineLevel="0" collapsed="false">
      <c r="A10" s="45" t="s">
        <v>106</v>
      </c>
      <c r="B10" s="45" t="n">
        <v>1</v>
      </c>
      <c r="C10" s="45" t="str">
        <f aca="false">'AI Quality Scoring'!C23</f>
        <v>38404605125</v>
      </c>
      <c r="D10" s="46"/>
      <c r="E10" s="46"/>
      <c r="F10" s="46"/>
      <c r="G10" s="46"/>
      <c r="H10" s="46"/>
      <c r="I10" s="46"/>
      <c r="J10" s="47" t="n">
        <f aca="false">'AI Quality Scoring'!G23</f>
        <v>0</v>
      </c>
      <c r="K10" s="47" t="n">
        <f aca="false">'AI Quality Scoring'!H23</f>
        <v>1</v>
      </c>
      <c r="L10" s="47" t="n">
        <f aca="false">'AI Quality Scoring'!I23</f>
        <v>1</v>
      </c>
      <c r="M10" s="47" t="n">
        <f aca="false">'AI Quality Scoring'!J23</f>
        <v>2</v>
      </c>
      <c r="N10" s="47" t="n">
        <f aca="false">'AI Quality Scoring'!K23</f>
        <v>1</v>
      </c>
      <c r="O10" s="47" t="n">
        <f aca="false">'AI Quality Scoring'!L23</f>
        <v>0</v>
      </c>
      <c r="P10" s="45" t="n">
        <f aca="false">IF(AND(ISNUMBER(D10),ISNUMBER(J10)),--(D10=J10),0)+IF(AND(ISNUMBER(E10),ISNUMBER(K10)),--(E10=K10),0)+IF(AND(ISNUMBER(F10),ISNUMBER(L10)),--(F10=L10),0)+IF(AND(ISNUMBER(G10),ISNUMBER(M10)),--(G10=M10),0)+IF(AND(ISNUMBER(H10),ISNUMBER(N10)),--(H10=N10),0)+IF(AND(ISNUMBER(I10),ISNUMBER(O10)),--(I10=O10),0)</f>
        <v>0</v>
      </c>
      <c r="Q10" s="45" t="n">
        <f aca="false">--AND(ISNUMBER(D10),ISNUMBER(J10))+--AND(ISNUMBER(E10),ISNUMBER(K10))+--AND(ISNUMBER(F10),ISNUMBER(L10))+--AND(ISNUMBER(G10),ISNUMBER(M10))+--AND(ISNUMBER(H10),ISNUMBER(N10))+--AND(ISNUMBER(I10),ISNUMBER(O10))</f>
        <v>0</v>
      </c>
      <c r="R10" s="45" t="n">
        <f aca="false">IF(AND(ISNUMBER(D10),ISNUMBER(J10)),--(ABS(D10-J10)&lt;=1),0)+IF(AND(ISNUMBER(E10),ISNUMBER(K10)),--(ABS(E10-K10)&lt;=1),0)+IF(AND(ISNUMBER(F10),ISNUMBER(L10)),--(ABS(F10-L10)&lt;=1),0)+IF(AND(ISNUMBER(G10),ISNUMBER(M10)),--(ABS(G10-M10)&lt;=1),0)+IF(AND(ISNUMBER(H10),ISNUMBER(N10)),--(ABS(H10-N10)&lt;=1),0)+IF(AND(ISNUMBER(I10),ISNUMBER(O10)),--(ABS(I10-O10)&lt;=1),0)</f>
        <v>0</v>
      </c>
    </row>
    <row r="11" customFormat="false" ht="15" hidden="false" customHeight="true" outlineLevel="0" collapsed="false">
      <c r="A11" s="45" t="s">
        <v>106</v>
      </c>
      <c r="B11" s="45" t="n">
        <v>4</v>
      </c>
      <c r="C11" s="45" t="str">
        <f aca="false">'AI Quality Scoring'!C26</f>
        <v>38405218950</v>
      </c>
      <c r="D11" s="46"/>
      <c r="E11" s="46"/>
      <c r="F11" s="46"/>
      <c r="G11" s="46"/>
      <c r="H11" s="46"/>
      <c r="I11" s="46"/>
      <c r="J11" s="47" t="n">
        <f aca="false">'AI Quality Scoring'!G26</f>
        <v>2</v>
      </c>
      <c r="K11" s="47" t="n">
        <f aca="false">'AI Quality Scoring'!H26</f>
        <v>2</v>
      </c>
      <c r="L11" s="47" t="n">
        <f aca="false">'AI Quality Scoring'!I26</f>
        <v>2</v>
      </c>
      <c r="M11" s="47" t="n">
        <f aca="false">'AI Quality Scoring'!J26</f>
        <v>2</v>
      </c>
      <c r="N11" s="47" t="n">
        <f aca="false">'AI Quality Scoring'!K26</f>
        <v>2</v>
      </c>
      <c r="O11" s="47" t="n">
        <f aca="false">'AI Quality Scoring'!L26</f>
        <v>2</v>
      </c>
      <c r="P11" s="45" t="n">
        <f aca="false">IF(AND(ISNUMBER(D11),ISNUMBER(J11)),--(D11=J11),0)+IF(AND(ISNUMBER(E11),ISNUMBER(K11)),--(E11=K11),0)+IF(AND(ISNUMBER(F11),ISNUMBER(L11)),--(F11=L11),0)+IF(AND(ISNUMBER(G11),ISNUMBER(M11)),--(G11=M11),0)+IF(AND(ISNUMBER(H11),ISNUMBER(N11)),--(H11=N11),0)+IF(AND(ISNUMBER(I11),ISNUMBER(O11)),--(I11=O11),0)</f>
        <v>0</v>
      </c>
      <c r="Q11" s="45" t="n">
        <f aca="false">--AND(ISNUMBER(D11),ISNUMBER(J11))+--AND(ISNUMBER(E11),ISNUMBER(K11))+--AND(ISNUMBER(F11),ISNUMBER(L11))+--AND(ISNUMBER(G11),ISNUMBER(M11))+--AND(ISNUMBER(H11),ISNUMBER(N11))+--AND(ISNUMBER(I11),ISNUMBER(O11))</f>
        <v>0</v>
      </c>
      <c r="R11" s="45" t="n">
        <f aca="false">IF(AND(ISNUMBER(D11),ISNUMBER(J11)),--(ABS(D11-J11)&lt;=1),0)+IF(AND(ISNUMBER(E11),ISNUMBER(K11)),--(ABS(E11-K11)&lt;=1),0)+IF(AND(ISNUMBER(F11),ISNUMBER(L11)),--(ABS(F11-L11)&lt;=1),0)+IF(AND(ISNUMBER(G11),ISNUMBER(M11)),--(ABS(G11-M11)&lt;=1),0)+IF(AND(ISNUMBER(H11),ISNUMBER(N11)),--(ABS(H11-N11)&lt;=1),0)+IF(AND(ISNUMBER(I11),ISNUMBER(O11)),--(ABS(I11-O11)&lt;=1),0)</f>
        <v>0</v>
      </c>
    </row>
    <row r="12" customFormat="false" ht="15" hidden="false" customHeight="true" outlineLevel="0" collapsed="false">
      <c r="A12" s="45" t="s">
        <v>115</v>
      </c>
      <c r="B12" s="45" t="n">
        <v>2</v>
      </c>
      <c r="C12" s="45" t="str">
        <f aca="false">'AI Quality Scoring'!C28</f>
        <v>38405075984</v>
      </c>
      <c r="D12" s="46"/>
      <c r="E12" s="46"/>
      <c r="F12" s="46"/>
      <c r="G12" s="46"/>
      <c r="H12" s="46"/>
      <c r="I12" s="46"/>
      <c r="J12" s="47" t="n">
        <f aca="false">'AI Quality Scoring'!G28</f>
        <v>2</v>
      </c>
      <c r="K12" s="47" t="n">
        <f aca="false">'AI Quality Scoring'!H28</f>
        <v>1</v>
      </c>
      <c r="L12" s="47" t="n">
        <f aca="false">'AI Quality Scoring'!I28</f>
        <v>1</v>
      </c>
      <c r="M12" s="47" t="n">
        <f aca="false">'AI Quality Scoring'!J28</f>
        <v>2</v>
      </c>
      <c r="N12" s="47" t="n">
        <f aca="false">'AI Quality Scoring'!K28</f>
        <v>2</v>
      </c>
      <c r="O12" s="47" t="n">
        <f aca="false">'AI Quality Scoring'!L28</f>
        <v>2</v>
      </c>
      <c r="P12" s="45" t="n">
        <f aca="false">IF(AND(ISNUMBER(D12),ISNUMBER(J12)),--(D12=J12),0)+IF(AND(ISNUMBER(E12),ISNUMBER(K12)),--(E12=K12),0)+IF(AND(ISNUMBER(F12),ISNUMBER(L12)),--(F12=L12),0)+IF(AND(ISNUMBER(G12),ISNUMBER(M12)),--(G12=M12),0)+IF(AND(ISNUMBER(H12),ISNUMBER(N12)),--(H12=N12),0)+IF(AND(ISNUMBER(I12),ISNUMBER(O12)),--(I12=O12),0)</f>
        <v>0</v>
      </c>
      <c r="Q12" s="45" t="n">
        <f aca="false">--AND(ISNUMBER(D12),ISNUMBER(J12))+--AND(ISNUMBER(E12),ISNUMBER(K12))+--AND(ISNUMBER(F12),ISNUMBER(L12))+--AND(ISNUMBER(G12),ISNUMBER(M12))+--AND(ISNUMBER(H12),ISNUMBER(N12))+--AND(ISNUMBER(I12),ISNUMBER(O12))</f>
        <v>0</v>
      </c>
      <c r="R12" s="45" t="n">
        <f aca="false">IF(AND(ISNUMBER(D12),ISNUMBER(J12)),--(ABS(D12-J12)&lt;=1),0)+IF(AND(ISNUMBER(E12),ISNUMBER(K12)),--(ABS(E12-K12)&lt;=1),0)+IF(AND(ISNUMBER(F12),ISNUMBER(L12)),--(ABS(F12-L12)&lt;=1),0)+IF(AND(ISNUMBER(G12),ISNUMBER(M12)),--(ABS(G12-M12)&lt;=1),0)+IF(AND(ISNUMBER(H12),ISNUMBER(N12)),--(ABS(H12-N12)&lt;=1),0)+IF(AND(ISNUMBER(I12),ISNUMBER(O12)),--(ABS(I12-O12)&lt;=1),0)</f>
        <v>0</v>
      </c>
    </row>
    <row r="13" customFormat="false" ht="15" hidden="false" customHeight="true" outlineLevel="0" collapsed="false">
      <c r="A13" s="45" t="s">
        <v>123</v>
      </c>
      <c r="B13" s="45" t="n">
        <v>1</v>
      </c>
      <c r="C13" s="45" t="str">
        <f aca="false">'AI Quality Scoring'!C30</f>
        <v>38404612132</v>
      </c>
      <c r="D13" s="46"/>
      <c r="E13" s="46"/>
      <c r="F13" s="46"/>
      <c r="G13" s="46"/>
      <c r="H13" s="46"/>
      <c r="I13" s="46"/>
      <c r="J13" s="47" t="n">
        <f aca="false">'AI Quality Scoring'!G30</f>
        <v>2</v>
      </c>
      <c r="K13" s="47" t="n">
        <f aca="false">'AI Quality Scoring'!H30</f>
        <v>1</v>
      </c>
      <c r="L13" s="47" t="n">
        <f aca="false">'AI Quality Scoring'!I30</f>
        <v>2</v>
      </c>
      <c r="M13" s="47" t="n">
        <f aca="false">'AI Quality Scoring'!J30</f>
        <v>1</v>
      </c>
      <c r="N13" s="47" t="n">
        <f aca="false">'AI Quality Scoring'!K30</f>
        <v>2</v>
      </c>
      <c r="O13" s="47" t="n">
        <f aca="false">'AI Quality Scoring'!L30</f>
        <v>1</v>
      </c>
      <c r="P13" s="45" t="n">
        <f aca="false">IF(AND(ISNUMBER(D13),ISNUMBER(J13)),--(D13=J13),0)+IF(AND(ISNUMBER(E13),ISNUMBER(K13)),--(E13=K13),0)+IF(AND(ISNUMBER(F13),ISNUMBER(L13)),--(F13=L13),0)+IF(AND(ISNUMBER(G13),ISNUMBER(M13)),--(G13=M13),0)+IF(AND(ISNUMBER(H13),ISNUMBER(N13)),--(H13=N13),0)+IF(AND(ISNUMBER(I13),ISNUMBER(O13)),--(I13=O13),0)</f>
        <v>0</v>
      </c>
      <c r="Q13" s="45" t="n">
        <f aca="false">--AND(ISNUMBER(D13),ISNUMBER(J13))+--AND(ISNUMBER(E13),ISNUMBER(K13))+--AND(ISNUMBER(F13),ISNUMBER(L13))+--AND(ISNUMBER(G13),ISNUMBER(M13))+--AND(ISNUMBER(H13),ISNUMBER(N13))+--AND(ISNUMBER(I13),ISNUMBER(O13))</f>
        <v>0</v>
      </c>
      <c r="R13" s="45" t="n">
        <f aca="false">IF(AND(ISNUMBER(D13),ISNUMBER(J13)),--(ABS(D13-J13)&lt;=1),0)+IF(AND(ISNUMBER(E13),ISNUMBER(K13)),--(ABS(E13-K13)&lt;=1),0)+IF(AND(ISNUMBER(F13),ISNUMBER(L13)),--(ABS(F13-L13)&lt;=1),0)+IF(AND(ISNUMBER(G13),ISNUMBER(M13)),--(ABS(G13-M13)&lt;=1),0)+IF(AND(ISNUMBER(H13),ISNUMBER(N13)),--(ABS(H13-N13)&lt;=1),0)+IF(AND(ISNUMBER(I13),ISNUMBER(O13)),--(ABS(I13-O13)&lt;=1),0)</f>
        <v>0</v>
      </c>
    </row>
    <row r="14" customFormat="false" ht="15" hidden="false" customHeight="true" outlineLevel="0" collapsed="false">
      <c r="A14" s="45" t="s">
        <v>132</v>
      </c>
      <c r="B14" s="45" t="n">
        <v>3</v>
      </c>
      <c r="C14" s="45" t="str">
        <f aca="false">'AI Quality Scoring'!C35</f>
        <v>38405200842</v>
      </c>
      <c r="D14" s="46"/>
      <c r="E14" s="46"/>
      <c r="F14" s="46"/>
      <c r="G14" s="46"/>
      <c r="H14" s="46"/>
      <c r="I14" s="46"/>
      <c r="J14" s="47" t="n">
        <f aca="false">'AI Quality Scoring'!G35</f>
        <v>2</v>
      </c>
      <c r="K14" s="47" t="n">
        <f aca="false">'AI Quality Scoring'!H35</f>
        <v>2</v>
      </c>
      <c r="L14" s="47" t="n">
        <f aca="false">'AI Quality Scoring'!I35</f>
        <v>2</v>
      </c>
      <c r="M14" s="47" t="n">
        <f aca="false">'AI Quality Scoring'!J35</f>
        <v>2</v>
      </c>
      <c r="N14" s="47" t="n">
        <f aca="false">'AI Quality Scoring'!K35</f>
        <v>2</v>
      </c>
      <c r="O14" s="47" t="n">
        <f aca="false">'AI Quality Scoring'!L35</f>
        <v>2</v>
      </c>
      <c r="P14" s="45" t="n">
        <f aca="false">IF(AND(ISNUMBER(D14),ISNUMBER(J14)),--(D14=J14),0)+IF(AND(ISNUMBER(E14),ISNUMBER(K14)),--(E14=K14),0)+IF(AND(ISNUMBER(F14),ISNUMBER(L14)),--(F14=L14),0)+IF(AND(ISNUMBER(G14),ISNUMBER(M14)),--(G14=M14),0)+IF(AND(ISNUMBER(H14),ISNUMBER(N14)),--(H14=N14),0)+IF(AND(ISNUMBER(I14),ISNUMBER(O14)),--(I14=O14),0)</f>
        <v>0</v>
      </c>
      <c r="Q14" s="45" t="n">
        <f aca="false">--AND(ISNUMBER(D14),ISNUMBER(J14))+--AND(ISNUMBER(E14),ISNUMBER(K14))+--AND(ISNUMBER(F14),ISNUMBER(L14))+--AND(ISNUMBER(G14),ISNUMBER(M14))+--AND(ISNUMBER(H14),ISNUMBER(N14))+--AND(ISNUMBER(I14),ISNUMBER(O14))</f>
        <v>0</v>
      </c>
      <c r="R14" s="45" t="n">
        <f aca="false">IF(AND(ISNUMBER(D14),ISNUMBER(J14)),--(ABS(D14-J14)&lt;=1),0)+IF(AND(ISNUMBER(E14),ISNUMBER(K14)),--(ABS(E14-K14)&lt;=1),0)+IF(AND(ISNUMBER(F14),ISNUMBER(L14)),--(ABS(F14-L14)&lt;=1),0)+IF(AND(ISNUMBER(G14),ISNUMBER(M14)),--(ABS(G14-M14)&lt;=1),0)+IF(AND(ISNUMBER(H14),ISNUMBER(N14)),--(ABS(H14-N14)&lt;=1),0)+IF(AND(ISNUMBER(I14),ISNUMBER(O14)),--(ABS(I14-O14)&lt;=1),0)</f>
        <v>0</v>
      </c>
    </row>
    <row r="15" customFormat="false" ht="15" hidden="false" customHeight="true" outlineLevel="0" collapsed="false">
      <c r="A15" s="45" t="s">
        <v>139</v>
      </c>
      <c r="B15" s="45" t="n">
        <v>1</v>
      </c>
      <c r="C15" s="45" t="str">
        <f aca="false">'AI Quality Scoring'!C36</f>
        <v>38404619147</v>
      </c>
      <c r="D15" s="46"/>
      <c r="E15" s="46"/>
      <c r="F15" s="46"/>
      <c r="G15" s="46"/>
      <c r="H15" s="46"/>
      <c r="I15" s="46"/>
      <c r="J15" s="47" t="n">
        <f aca="false">'AI Quality Scoring'!G36</f>
        <v>0</v>
      </c>
      <c r="K15" s="47" t="n">
        <f aca="false">'AI Quality Scoring'!H36</f>
        <v>1</v>
      </c>
      <c r="L15" s="47" t="str">
        <f aca="false">'AI Quality Scoring'!I36</f>
        <v>n/a</v>
      </c>
      <c r="M15" s="47" t="str">
        <f aca="false">'AI Quality Scoring'!J36</f>
        <v>n/a</v>
      </c>
      <c r="N15" s="47" t="str">
        <f aca="false">'AI Quality Scoring'!K36</f>
        <v>n/a</v>
      </c>
      <c r="O15" s="47" t="n">
        <f aca="false">'AI Quality Scoring'!L36</f>
        <v>0</v>
      </c>
      <c r="P15" s="45" t="n">
        <f aca="false">IF(AND(ISNUMBER(D15),ISNUMBER(J15)),--(D15=J15),0)+IF(AND(ISNUMBER(E15),ISNUMBER(K15)),--(E15=K15),0)+IF(AND(ISNUMBER(F15),ISNUMBER(L15)),--(F15=L15),0)+IF(AND(ISNUMBER(G15),ISNUMBER(M15)),--(G15=M15),0)+IF(AND(ISNUMBER(H15),ISNUMBER(N15)),--(H15=N15),0)+IF(AND(ISNUMBER(I15),ISNUMBER(O15)),--(I15=O15),0)</f>
        <v>0</v>
      </c>
      <c r="Q15" s="45" t="n">
        <f aca="false">--AND(ISNUMBER(D15),ISNUMBER(J15))+--AND(ISNUMBER(E15),ISNUMBER(K15))+--AND(ISNUMBER(F15),ISNUMBER(L15))+--AND(ISNUMBER(G15),ISNUMBER(M15))+--AND(ISNUMBER(H15),ISNUMBER(N15))+--AND(ISNUMBER(I15),ISNUMBER(O15))</f>
        <v>0</v>
      </c>
      <c r="R15" s="45" t="n">
        <f aca="false">IF(AND(ISNUMBER(D15),ISNUMBER(J15)),--(ABS(D15-J15)&lt;=1),0)+IF(AND(ISNUMBER(E15),ISNUMBER(K15)),--(ABS(E15-K15)&lt;=1),0)+IF(AND(ISNUMBER(F15),ISNUMBER(L15)),--(ABS(F15-L15)&lt;=1),0)+IF(AND(ISNUMBER(G15),ISNUMBER(M15)),--(ABS(G15-M15)&lt;=1),0)+IF(AND(ISNUMBER(H15),ISNUMBER(N15)),--(ABS(H15-N15)&lt;=1),0)+IF(AND(ISNUMBER(I15),ISNUMBER(O15)),--(ABS(I15-O15)&lt;=1),0)</f>
        <v>0</v>
      </c>
    </row>
    <row r="16" customFormat="false" ht="15" hidden="false" customHeight="true" outlineLevel="0" collapsed="false">
      <c r="A16" s="45" t="s">
        <v>139</v>
      </c>
      <c r="B16" s="45" t="n">
        <v>2</v>
      </c>
      <c r="C16" s="45" t="str">
        <f aca="false">'AI Quality Scoring'!C37</f>
        <v>38405103514</v>
      </c>
      <c r="D16" s="46"/>
      <c r="E16" s="46"/>
      <c r="F16" s="46"/>
      <c r="G16" s="46"/>
      <c r="H16" s="46"/>
      <c r="I16" s="46"/>
      <c r="J16" s="47" t="n">
        <f aca="false">'AI Quality Scoring'!G37</f>
        <v>1</v>
      </c>
      <c r="K16" s="47" t="n">
        <f aca="false">'AI Quality Scoring'!H37</f>
        <v>1</v>
      </c>
      <c r="L16" s="47" t="str">
        <f aca="false">'AI Quality Scoring'!I37</f>
        <v>n/a</v>
      </c>
      <c r="M16" s="47" t="str">
        <f aca="false">'AI Quality Scoring'!J37</f>
        <v>n/a</v>
      </c>
      <c r="N16" s="47" t="str">
        <f aca="false">'AI Quality Scoring'!K37</f>
        <v>n/a</v>
      </c>
      <c r="O16" s="47" t="n">
        <f aca="false">'AI Quality Scoring'!L37</f>
        <v>1</v>
      </c>
      <c r="P16" s="45" t="n">
        <f aca="false">IF(AND(ISNUMBER(D16),ISNUMBER(J16)),--(D16=J16),0)+IF(AND(ISNUMBER(E16),ISNUMBER(K16)),--(E16=K16),0)+IF(AND(ISNUMBER(F16),ISNUMBER(L16)),--(F16=L16),0)+IF(AND(ISNUMBER(G16),ISNUMBER(M16)),--(G16=M16),0)+IF(AND(ISNUMBER(H16),ISNUMBER(N16)),--(H16=N16),0)+IF(AND(ISNUMBER(I16),ISNUMBER(O16)),--(I16=O16),0)</f>
        <v>0</v>
      </c>
      <c r="Q16" s="45" t="n">
        <f aca="false">--AND(ISNUMBER(D16),ISNUMBER(J16))+--AND(ISNUMBER(E16),ISNUMBER(K16))+--AND(ISNUMBER(F16),ISNUMBER(L16))+--AND(ISNUMBER(G16),ISNUMBER(M16))+--AND(ISNUMBER(H16),ISNUMBER(N16))+--AND(ISNUMBER(I16),ISNUMBER(O16))</f>
        <v>0</v>
      </c>
      <c r="R16" s="45" t="n">
        <f aca="false">IF(AND(ISNUMBER(D16),ISNUMBER(J16)),--(ABS(D16-J16)&lt;=1),0)+IF(AND(ISNUMBER(E16),ISNUMBER(K16)),--(ABS(E16-K16)&lt;=1),0)+IF(AND(ISNUMBER(F16),ISNUMBER(L16)),--(ABS(F16-L16)&lt;=1),0)+IF(AND(ISNUMBER(G16),ISNUMBER(M16)),--(ABS(G16-M16)&lt;=1),0)+IF(AND(ISNUMBER(H16),ISNUMBER(N16)),--(ABS(H16-N16)&lt;=1),0)+IF(AND(ISNUMBER(I16),ISNUMBER(O16)),--(ABS(I16-O16)&lt;=1),0)</f>
        <v>0</v>
      </c>
    </row>
    <row r="18" customFormat="false" ht="15" hidden="false" customHeight="true" outlineLevel="0" collapsed="false">
      <c r="A18" s="15" t="s">
        <v>984</v>
      </c>
      <c r="D18" s="44" t="str">
        <f aca="false">IF(SUM(Q7:Q16)=0,"not yet scored",SUM(P7:P16)/SUM(Q7:Q16))</f>
        <v>not yet scored</v>
      </c>
    </row>
    <row r="19" customFormat="false" ht="15" hidden="false" customHeight="true" outlineLevel="0" collapsed="false">
      <c r="A19" s="15" t="s">
        <v>985</v>
      </c>
      <c r="D19" s="44" t="str">
        <f aca="false">IF(SUM(Q7:Q16)=0,"not yet scored",SUM(R7:R16)/SUM(Q7:Q16))</f>
        <v>not yet scored</v>
      </c>
    </row>
    <row r="20" customFormat="false" ht="15" hidden="false" customHeight="true" outlineLevel="0" collapsed="false">
      <c r="A20" s="30" t="s">
        <v>986</v>
      </c>
    </row>
  </sheetData>
  <mergeCells count="1">
    <mergeCell ref="A2: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987</v>
      </c>
      <c r="C1" s="7" t="s">
        <v>988</v>
      </c>
      <c r="D1" s="7" t="s">
        <v>989</v>
      </c>
      <c r="E1" s="7" t="s">
        <v>990</v>
      </c>
    </row>
    <row r="2" customFormat="false" ht="15" hidden="false" customHeight="true" outlineLevel="0" collapsed="false">
      <c r="A2" s="8" t="s">
        <v>32</v>
      </c>
      <c r="B2" s="8" t="s">
        <v>991</v>
      </c>
      <c r="C2" s="8" t="s">
        <v>992</v>
      </c>
      <c r="D2" s="8" t="s">
        <v>992</v>
      </c>
      <c r="E2" s="8" t="s">
        <v>992</v>
      </c>
    </row>
    <row r="3" customFormat="false" ht="15" hidden="false" customHeight="true" outlineLevel="0" collapsed="false">
      <c r="A3" s="8" t="s">
        <v>45</v>
      </c>
      <c r="B3" s="8" t="s">
        <v>993</v>
      </c>
      <c r="C3" s="8" t="s">
        <v>994</v>
      </c>
      <c r="D3" s="8" t="s">
        <v>995</v>
      </c>
      <c r="E3" s="8" t="s">
        <v>995</v>
      </c>
    </row>
    <row r="4" customFormat="false" ht="15" hidden="false" customHeight="true" outlineLevel="0" collapsed="false">
      <c r="A4" s="8" t="s">
        <v>58</v>
      </c>
      <c r="B4" s="8" t="s">
        <v>996</v>
      </c>
      <c r="C4" s="8" t="s">
        <v>994</v>
      </c>
      <c r="D4" s="8" t="s">
        <v>995</v>
      </c>
      <c r="E4" s="8" t="s">
        <v>995</v>
      </c>
    </row>
    <row r="5" customFormat="false" ht="15" hidden="false" customHeight="true" outlineLevel="0" collapsed="false">
      <c r="A5" s="8" t="s">
        <v>68</v>
      </c>
      <c r="B5" s="8" t="s">
        <v>997</v>
      </c>
      <c r="C5" s="8" t="s">
        <v>994</v>
      </c>
      <c r="D5" s="8" t="s">
        <v>995</v>
      </c>
      <c r="E5" s="8" t="s">
        <v>998</v>
      </c>
    </row>
    <row r="6" customFormat="false" ht="15" hidden="false" customHeight="true" outlineLevel="0" collapsed="false">
      <c r="A6" s="8" t="s">
        <v>78</v>
      </c>
      <c r="B6" s="8" t="s">
        <v>999</v>
      </c>
      <c r="C6" s="8" t="s">
        <v>1000</v>
      </c>
      <c r="D6" s="8" t="s">
        <v>1001</v>
      </c>
      <c r="E6" s="8" t="s">
        <v>1002</v>
      </c>
    </row>
    <row r="7" customFormat="false" ht="15" hidden="false" customHeight="true" outlineLevel="0" collapsed="false">
      <c r="A7" s="8" t="s">
        <v>87</v>
      </c>
      <c r="B7" s="8" t="s">
        <v>1003</v>
      </c>
      <c r="C7" s="8" t="s">
        <v>1000</v>
      </c>
      <c r="D7" s="8" t="s">
        <v>1001</v>
      </c>
      <c r="E7" s="8" t="s">
        <v>1002</v>
      </c>
    </row>
    <row r="8" customFormat="false" ht="15" hidden="false" customHeight="true" outlineLevel="0" collapsed="false">
      <c r="A8" s="8" t="s">
        <v>96</v>
      </c>
      <c r="B8" s="8" t="s">
        <v>1004</v>
      </c>
      <c r="C8" s="8" t="s">
        <v>1000</v>
      </c>
      <c r="D8" s="8" t="s">
        <v>1000</v>
      </c>
      <c r="E8" s="8" t="s">
        <v>995</v>
      </c>
    </row>
    <row r="9" customFormat="false" ht="26.25" hidden="false" customHeight="true" outlineLevel="0" collapsed="false">
      <c r="A9" s="8" t="s">
        <v>106</v>
      </c>
      <c r="B9" s="8" t="s">
        <v>1005</v>
      </c>
      <c r="C9" s="8" t="s">
        <v>994</v>
      </c>
      <c r="D9" s="8" t="s">
        <v>1001</v>
      </c>
      <c r="E9" s="8" t="s">
        <v>1002</v>
      </c>
    </row>
    <row r="10" customFormat="false" ht="15" hidden="false" customHeight="true" outlineLevel="0" collapsed="false">
      <c r="A10" s="8" t="s">
        <v>115</v>
      </c>
      <c r="B10" s="8" t="s">
        <v>1006</v>
      </c>
      <c r="C10" s="8" t="s">
        <v>994</v>
      </c>
      <c r="D10" s="8" t="s">
        <v>994</v>
      </c>
      <c r="E10" s="8" t="s">
        <v>1002</v>
      </c>
    </row>
    <row r="11" customFormat="false" ht="26.25" hidden="false" customHeight="true" outlineLevel="0" collapsed="false">
      <c r="A11" s="8" t="s">
        <v>123</v>
      </c>
      <c r="B11" s="8" t="s">
        <v>124</v>
      </c>
      <c r="C11" s="8" t="s">
        <v>1000</v>
      </c>
      <c r="D11" s="8" t="s">
        <v>994</v>
      </c>
      <c r="E11" s="8" t="s">
        <v>995</v>
      </c>
    </row>
    <row r="12" customFormat="false" ht="26.25" hidden="false" customHeight="true" outlineLevel="0" collapsed="false">
      <c r="A12" s="8" t="s">
        <v>132</v>
      </c>
      <c r="B12" s="8" t="s">
        <v>1007</v>
      </c>
      <c r="C12" s="8" t="s">
        <v>1000</v>
      </c>
      <c r="D12" s="8" t="s">
        <v>994</v>
      </c>
      <c r="E12" s="8" t="s">
        <v>998</v>
      </c>
    </row>
    <row r="13" customFormat="false" ht="26.25" hidden="false" customHeight="true" outlineLevel="0" collapsed="false">
      <c r="A13" s="8" t="s">
        <v>139</v>
      </c>
      <c r="B13" s="8" t="s">
        <v>1008</v>
      </c>
      <c r="C13" s="8" t="s">
        <v>994</v>
      </c>
      <c r="D13" s="8" t="s">
        <v>995</v>
      </c>
      <c r="E13" s="8" t="s">
        <v>1002</v>
      </c>
    </row>
    <row r="15" customFormat="false" ht="15" hidden="false" customHeight="true" outlineLevel="0" collapsed="false">
      <c r="A15" s="30" t="s">
        <v>1009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2026-10-13T14:32:08Z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