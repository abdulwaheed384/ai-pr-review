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Verified Matrix" sheetId="2" state="visible" r:id="rId4"/>
    <sheet name="Summary" sheetId="3" state="visible" r:id="rId5"/>
    <sheet name="Independent AI Runs" sheetId="4" state="visible" r:id="rId6"/>
    <sheet name="Scanner Results" sheetId="5" state="visible" r:id="rId7"/>
    <sheet name="Hybrid Runs (Condition C)" sheetId="6" state="visible" r:id="rId8"/>
    <sheet name="Decisions &amp; Caveats" sheetId="7" state="visible" r:id="rId9"/>
    <sheet name="Scoring Rules" sheetId="8" state="visible" r:id="rId10"/>
    <sheet name="AI Quality Scoring" sheetId="9" state="visible" r:id="rId11"/>
    <sheet name="Inter-rater Check" sheetId="10" state="visible" r:id="rId12"/>
    <sheet name="Draft Matrix (original)" sheetId="11" state="visible" r:id="rId13"/>
  </sheets>
  <definedNames>
    <definedName function="false" hidden="true" localSheetId="8" name="_xlnm._FilterDatabase" vbProcedure="false">'AI Quality Scoring'!$A$1:$R$38</definedName>
    <definedName function="false" hidden="true" localSheetId="3" name="_xlnm._FilterDatabase" vbProcedure="false">'Independent AI Runs'!$A$1:$M$38</definedName>
    <definedName function="false" hidden="true" localSheetId="1" name="_xlnm._FilterDatabase" vbProcedure="false">'Verified Matrix'!$A$1:$O$13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<sst xmlns="http://schemas.openxmlformats.org/spreadsheetml/2006/main" count="1345" uniqueCount="594">
  <si>
    <t xml:space="preserve">PROM06 TC01–TC12 Verified Results Matrix</t>
  </si>
  <si>
    <t xml:space="preserve">Built 13 Oct 2026 from: PR bot comments and run artifacts (PRs #46–#68 Condition C; PRs #70–#81 independent), experiment-metadata.json for 37 independent runs, local reproduction with Checkov 3.3.1 and tfsec 1.28.14, Ground-Truth Matrix v1.0 and Confluence PROM06-TC-Evidences v72 (13 Oct 10:47).</t>
  </si>
  <si>
    <t xml:space="preserve">Evidence hierarchy used: raw run artifacts &gt; PR bot comments &gt; Confluence/screenshots &gt; draft matrix.</t>
  </si>
  <si>
    <t xml:space="preserve">Classification codes (target condition only):</t>
  </si>
  <si>
    <t xml:space="preserve">TP = target condition correctly reported   FN = target condition not reported   TN = no finding on a case with no intended weakness</t>
  </si>
  <si>
    <t xml:space="preserve">FP = finding that treats an acceptable configuration as a defect   PARTIAL = reported inconsistently across runs   CONTEXT = context-sensitive, researcher decision needed   UNVERIFIED = evidence conflict, not usable</t>
  </si>
  <si>
    <t xml:space="preserve">AI (independent) = post-PR #69 workflow, scanner_findings_supplied_to_ai = false in every run's metadata, 3 successful runs per case (TC08: 3 successful + 1 failed). AI (hybrid) = earlier Condition C runs whose prompt contained normalised Checkov/tfsec findings.</t>
  </si>
  <si>
    <t xml:space="preserve">Severity labels are each tool's own scale and are not equivalent across tools (Checkov OSS JSON has no severity).</t>
  </si>
  <si>
    <t xml:space="preserve">Sheets: Verified Matrix · Summary (formula-driven counts) · Independent AI Runs · Scanner Results · Hybrid Runs (Condition C) · Decisions &amp; Caveats · Draft Matrix (original).</t>
  </si>
  <si>
    <t xml:space="preserve">Decisions &amp; Caveats: all ten proposed treatments agreed by AB on 13 Oct 2026; classifications in 'Verified Matrix' reflect them. Matrix frozen pending AI explanation/remediation scoring.</t>
  </si>
  <si>
    <t xml:space="preserve">Test case</t>
  </si>
  <si>
    <t xml:space="preserve">Scenario (Confluence v72)</t>
  </si>
  <si>
    <t xml:space="preserve">Ground truth (summary)</t>
  </si>
  <si>
    <t xml:space="preserve">Case type</t>
  </si>
  <si>
    <t xml:space="preserve">Checkov 3.3.1 observed</t>
  </si>
  <si>
    <t xml:space="preserve">Checkov class.</t>
  </si>
  <si>
    <t xml:space="preserve">tfsec 1.28.14 observed</t>
  </si>
  <si>
    <t xml:space="preserve">tfsec class.</t>
  </si>
  <si>
    <t xml:space="preserve">AI independent (3 runs)</t>
  </si>
  <si>
    <t xml:space="preserve">AI indep. class.</t>
  </si>
  <si>
    <t xml:space="preserve">AI hybrid / Condition C (earlier)</t>
  </si>
  <si>
    <t xml:space="preserve">AI hybrid class.</t>
  </si>
  <si>
    <t xml:space="preserve">Extra / unrelated findings</t>
  </si>
  <si>
    <t xml:space="preserve">Evidence references</t>
  </si>
  <si>
    <t xml:space="preserve">Caveats</t>
  </si>
  <si>
    <t xml:space="preserve">TC01</t>
  </si>
  <si>
    <t xml:space="preserve">Secure baseline</t>
  </si>
  <si>
    <t xml:space="preserve">No intentional vulnerability (false-positive baseline).</t>
  </si>
  <si>
    <t xml:space="preserve">Secure</t>
  </si>
  <si>
    <t xml:space="preserve">7 passed / 0 failed</t>
  </si>
  <si>
    <t xml:space="preserve">TN</t>
  </si>
  <si>
    <t xml:space="preserve">0 findings</t>
  </si>
  <si>
    <t xml:space="preserve">0 confirmed in 3/3 runs (100/100). Only FALSE_POSITIVE/INFORMATIONAL notes in the artifact.</t>
  </si>
  <si>
    <t xml:space="preserve">Conflicting: PR #46 (older fixture) 2 confirmed MEDIUM (TAG-001, LOG-001), 55/100; Confluence 'clean' screenshot from PR #55 cannot be tied to its own run.</t>
  </si>
  <si>
    <t xml:space="preserve">UNVERIFIED</t>
  </si>
  <si>
    <t xml:space="preserve">None confirmed.</t>
  </si>
  <si>
    <t xml:space="preserve">PR #70, 92ab884, runs 38404582550 / 38405003190 / 38405111880; hybrid PR #46, #55</t>
  </si>
  <si>
    <t xml:space="preserve">Baseline evolved after PR #46 AI findings (tags, logging, deny rules) and prompt was adjusted — disclose as validity threat. TC01 rerun branch has a comment-only edit.</t>
  </si>
  <si>
    <t xml:space="preserve">TC02</t>
  </si>
  <si>
    <t xml:space="preserve">Unrestricted SSH Access</t>
  </si>
  <si>
    <t xml:space="preserve">Inbound TCP/22 from 0.0.0.0/0 — genuine management-plane exposure.</t>
  </si>
  <si>
    <t xml:space="preserve">Vulnerable</t>
  </si>
  <si>
    <t xml:space="preserve">7/0 — CKV_AZURE_10 evaluated and PASSED</t>
  </si>
  <si>
    <t xml:space="preserve">FN</t>
  </si>
  <si>
    <t xml:space="preserve">AVD-AZU-0047 + AVD-AZU-0050 (CRITICAL)</t>
  </si>
  <si>
    <t xml:space="preserve">TP</t>
  </si>
  <si>
    <t xml:space="preserve">HIGH SSH finding in 3/3 runs (70/100).</t>
  </si>
  <si>
    <t xml:space="preserve">CRITICAL SSH, cited tfsec IDs (PR #56).</t>
  </si>
  <si>
    <t xml:space="preserve">tfsec: 2 rules for one condition (normalise to 1).</t>
  </si>
  <si>
    <t xml:space="preserve">PR #71, 3eda6f7; hybrid PR #56</t>
  </si>
  <si>
    <t xml:space="preserve">Checkov passes because '0.0.0.0/0' is not matched as internet; CKV_AZURE_10 fails when the source is '*' (local probe).</t>
  </si>
  <si>
    <t xml:space="preserve">TC03</t>
  </si>
  <si>
    <t xml:space="preserve">Unrestricted RDP Access</t>
  </si>
  <si>
    <t xml:space="preserve">Inbound TCP/3389 from 0.0.0.0/0 — genuine management-plane exposure.</t>
  </si>
  <si>
    <t xml:space="preserve">7/0 — CKV_AZURE_9 evaluated and PASSED</t>
  </si>
  <si>
    <t xml:space="preserve">AVD-AZU-0048 + AVD-AZU-0047 (CRITICAL)</t>
  </si>
  <si>
    <t xml:space="preserve">HIGH RDP finding in 3/3 runs; run 3 added a duplicate SEC-001 policy finding (40/100).</t>
  </si>
  <si>
    <t xml:space="preserve">CRITICAL RDP, cited tfsec IDs (PR #57).</t>
  </si>
  <si>
    <t xml:space="preserve">AI run 3: duplicate SEC-001 finding for the same condition; tfsec: 2 rules, 1 condition.</t>
  </si>
  <si>
    <t xml:space="preserve">PR #72, 27789d9; hybrid PR #57</t>
  </si>
  <si>
    <t xml:space="preserve">Same Checkov source-matching behaviour as TC02 (inferred; probe run on TC02 only).</t>
  </si>
  <si>
    <t xml:space="preserve">TC04</t>
  </si>
  <si>
    <t xml:space="preserve">Public HTTP Ingress</t>
  </si>
  <si>
    <t xml:space="preserve">Inbound TCP/80 from 0.0.0.0/0 — intended TC04 weakness (Confluence v72).</t>
  </si>
  <si>
    <t xml:space="preserve">7/0 — CKV_AZURE_160 evaluated and PASSED</t>
  </si>
  <si>
    <t xml:space="preserve">AVD-AZU-0047 (CRITICAL, generic public ingress)</t>
  </si>
  <si>
    <t xml:space="preserve">HIGH HTTP finding in 3/3 runs (70/100).</t>
  </si>
  <si>
    <t xml:space="preserve">HIGH HTTP, cited tfsec ID (PR #58).</t>
  </si>
  <si>
    <t xml:space="preserve">—</t>
  </si>
  <si>
    <t xml:space="preserve">PR #73, cbc6855; hybrid PR #58</t>
  </si>
  <si>
    <t xml:space="preserve">GT v1.0 described TC04 as context-dependent; Confluence v72 fixes it as an intended weakness. tfsec rule is not port-specific.</t>
  </si>
  <si>
    <t xml:space="preserve">TC05</t>
  </si>
  <si>
    <t xml:space="preserve">Missing NSG Association</t>
  </si>
  <si>
    <t xml:space="preserve">NSG exists but is not associated with the subnet — control not effective.</t>
  </si>
  <si>
    <t xml:space="preserve">CKV2_AZURE_31 (6 passed / 1 failed)</t>
  </si>
  <si>
    <t xml:space="preserve">NET-001 finding in 3/3 runs (HIGH, HIGH, MEDIUM).</t>
  </si>
  <si>
    <t xml:space="preserve">MEDIUM NET-001, cited Checkov ID (PR #59).</t>
  </si>
  <si>
    <t xml:space="preserve">AI: NEEDS_CONTEXT note in every run about the stale 'Custom resolver' DNS comment (fixture artefact).</t>
  </si>
  <si>
    <t xml:space="preserve">PR #74, 14486bd; hybrid PR #59</t>
  </si>
  <si>
    <t xml:space="preserve">Severity varied across identical runs.</t>
  </si>
  <si>
    <t xml:space="preserve">TC06</t>
  </si>
  <si>
    <t xml:space="preserve">Public DNS Configuration</t>
  </si>
  <si>
    <t xml:space="preserve">VNet uses public resolver 8.8.8.8 contrary to NET-002 / CKV_AZURE_183.</t>
  </si>
  <si>
    <t xml:space="preserve">CKV_AZURE_183 + CKV_AZURE_182 (5/2)</t>
  </si>
  <si>
    <t xml:space="preserve">MEDIUM NET-002 finding in 3/3 runs (85/100).</t>
  </si>
  <si>
    <t xml:space="preserve">MEDIUM NET-002, cited Checkov IDs (PR #61).</t>
  </si>
  <si>
    <t xml:space="preserve">Checkov CKV_AZURE_182 (≥2 DNS endpoints) is related but not the target condition.</t>
  </si>
  <si>
    <t xml:space="preserve">PR #75, eb51ee9; hybrid PR #61</t>
  </si>
  <si>
    <t xml:space="preserve">Ground truth depends on the project baseline (NET-002); public DNS is not inherently insecure.</t>
  </si>
  <si>
    <t xml:space="preserve">TC07</t>
  </si>
  <si>
    <t xml:space="preserve">Weak TLS Configuration</t>
  </si>
  <si>
    <t xml:space="preserve">Storage account min_tls_version = TLS1_0 below TLS 1.2 minimum.</t>
  </si>
  <si>
    <t xml:space="preserve">CKV_AZURE_44 among 11 failed (11/11)</t>
  </si>
  <si>
    <t xml:space="preserve">AVD-AZU-0011 (CRITICAL)</t>
  </si>
  <si>
    <t xml:space="preserve">HIGH TLS finding in 3/3 runs + LOW TAG-001 (65/100).</t>
  </si>
  <si>
    <t xml:space="preserve">CRITICAL TLS + 2 extra findings (PR #63).</t>
  </si>
  <si>
    <t xml:space="preserve">Checkov: 10 unrelated storage checks fail. AI: valid LOW TAG-001 (storage is taggable) + NEEDS_CONTEXT public access.</t>
  </si>
  <si>
    <t xml:space="preserve">PR #76, b6e93b7; hybrid PR #63</t>
  </si>
  <si>
    <t xml:space="preserve">Fixture not single-variable (new storage account, hard-coded RG, non-standard tags); Confluence scenario said TC12 HTTPS service would be reused.</t>
  </si>
  <si>
    <t xml:space="preserve">TC08</t>
  </si>
  <si>
    <t xml:space="preserve">Missing Diagnostic/Audit Logging</t>
  </si>
  <si>
    <t xml:space="preserve">NSG diagnostic setting removed; logs not forwarded to Log Analytics (LOG-001).</t>
  </si>
  <si>
    <t xml:space="preserve">7/0</t>
  </si>
  <si>
    <t xml:space="preserve">Raised in all 4 runs but classified inconsistently: FALSE_POSITIVE (output rejected, run failed), NEEDS_CONTEXT ×2, CONFIRMED ×1.</t>
  </si>
  <si>
    <t xml:space="preserve">PARTIAL</t>
  </si>
  <si>
    <t xml:space="preserve">MEDIUM LOG-001 confirmed (PR #64).</t>
  </si>
  <si>
    <t xml:space="preserve">PR #77, c86e4d5, runs 38404605125 (failed) / 38405066857 / 38405174844 / 38405218950; hybrid PR #64</t>
  </si>
  <si>
    <t xml:space="preserve">Only the AI is given LOG-001; failed run's summary wrongly claimed the absence was intentional.</t>
  </si>
  <si>
    <t xml:space="preserve">TC09</t>
  </si>
  <si>
    <t xml:space="preserve">Plaintext Credentials (dummy)</t>
  </si>
  <si>
    <t xml:space="preserve">Dummy credential-shaped string hard-coded in a Terraform local; value is non-sensitive test data.</t>
  </si>
  <si>
    <t xml:space="preserve">7/0 (Checkov run with --framework terraform; secrets framework not run)</t>
  </si>
  <si>
    <t xml:space="preserve">MEDIUM hard-coded secret finding in 3/3 runs (85/100).</t>
  </si>
  <si>
    <t xml:space="preserve">MEDIUM finding (PR #65).</t>
  </si>
  <si>
    <t xml:space="preserve">PR #78, 277a730; hybrid PR #65</t>
  </si>
  <si>
    <t xml:space="preserve">Checkov non-detection reflects pipeline configuration as much as tool capability. Explanation accuracy (state claims) to be scored in step 2.</t>
  </si>
  <si>
    <t xml:space="preserve">TC10</t>
  </si>
  <si>
    <t xml:space="preserve">Excessive Azure IAM Permissions</t>
  </si>
  <si>
    <t xml:space="preserve">Custom role actions = ['*'] at subscription scope exceeds minimum.</t>
  </si>
  <si>
    <t xml:space="preserve">CKV_AZURE_39 (7/1)</t>
  </si>
  <si>
    <t xml:space="preserve">HIGH wildcard-role finding in 3/3 runs; 2/3 runs added LOW TAG-001.</t>
  </si>
  <si>
    <t xml:space="preserve">Run 1: 2 × CRITICAL (40/100); rerun same commit: 1 × HIGH (70/100) (PR #66).</t>
  </si>
  <si>
    <t xml:space="preserve">AI TAG-001 on azurerm_role_definition (resource has no tags) — AI false positive in 2/3 runs.</t>
  </si>
  <si>
    <t xml:space="preserve">PR #79, bd8a61f; hybrid PR #66 (2 attempts)</t>
  </si>
  <si>
    <t xml:space="preserve">Matrix 'critical' reflected hybrid run 1 only.</t>
  </si>
  <si>
    <t xml:space="preserve">TC11</t>
  </si>
  <si>
    <t xml:space="preserve">Multi-file, context-dependent weakness</t>
  </si>
  <si>
    <t xml:space="preserve">Wildcard role vs read-only actions documented in tc11_requirements.tf.</t>
  </si>
  <si>
    <t xml:space="preserve">HIGH finding in 3/3 runs; all 3 cite tc11_requirements.tf.</t>
  </si>
  <si>
    <t xml:space="preserve">HIGH finding ×2, cited Checkov (PR #67).</t>
  </si>
  <si>
    <t xml:space="preserve">PR #80, 3dd9a04; hybrid PR #67 (2 attempts)</t>
  </si>
  <si>
    <t xml:space="preserve">Construct validity: the wildcard alone triggers detection, so this does not isolate multi-file reasoning. Confluence heading 'AI-only (B)' is wrong — evidence is Condition C.</t>
  </si>
  <si>
    <t xml:space="preserve">TC12</t>
  </si>
  <si>
    <t xml:space="preserve">Legitimate Public HTTPS Service</t>
  </si>
  <si>
    <t xml:space="preserve">Public TCP/443 is intentional; exposure alone is not a vulnerability.</t>
  </si>
  <si>
    <t xml:space="preserve">Legitimate</t>
  </si>
  <si>
    <t xml:space="preserve">11 passed / 0 failed</t>
  </si>
  <si>
    <t xml:space="preserve">AVD-AZU-0047 (CRITICAL) on the intended rule</t>
  </si>
  <si>
    <t xml:space="preserve">CONTEXT</t>
  </si>
  <si>
    <t xml:space="preserve">Varied: run 1 blocked (HIGH + MEDIUM SEC-001 + LOW TAG-001, 50/100); run 2 LOW TAG-001 only (95); run 3 none (100), said SEC-001 justified and TAG-001 n/a.</t>
  </si>
  <si>
    <t xml:space="preserve">MEDIUM SEC-001 scope concern (PR #68).</t>
  </si>
  <si>
    <t xml:space="preserve">AI TAG-001 on azurerm_network_security_rule (resource has no tags) — AI false positive in 2/3 runs.</t>
  </si>
  <si>
    <t xml:space="preserve">PR #81, 9cee1fe; hybrid PR #68</t>
  </si>
  <si>
    <t xml:space="preserve">Decide whether the shared-NSG/wildcard-destination scope concern counts as a separate weakness; until then tfsec and AI are CONTEXT.</t>
  </si>
  <si>
    <t xml:space="preserve">Descriptive counts (formula-driven from 'Verified Matrix')</t>
  </si>
  <si>
    <t xml:space="preserve">Measure</t>
  </si>
  <si>
    <t xml:space="preserve">Checkov</t>
  </si>
  <si>
    <t xml:space="preserve">tfsec</t>
  </si>
  <si>
    <t xml:space="preserve">AI independent</t>
  </si>
  <si>
    <t xml:space="preserve">AI hybrid (Cond. C)</t>
  </si>
  <si>
    <t xml:space="preserve">Definition / denominator</t>
  </si>
  <si>
    <t xml:space="preserve">Vulnerable cases (denominator)</t>
  </si>
  <si>
    <t xml:space="preserve">TC02–TC11</t>
  </si>
  <si>
    <t xml:space="preserve">Target condition detected (TP)</t>
  </si>
  <si>
    <t xml:space="preserve">Normalised: one detection per case regardless of rule count</t>
  </si>
  <si>
    <t xml:space="preserve">Target condition missed (FN)</t>
  </si>
  <si>
    <t xml:space="preserve">Inconsistent across runs (PARTIAL)</t>
  </si>
  <si>
    <t xml:space="preserve">AI only: TC08</t>
  </si>
  <si>
    <t xml:space="preserve">Detection rate (TP / vulnerable cases)</t>
  </si>
  <si>
    <t xml:space="preserve">Descriptive only; n = 10 constructed cases, not a population estimate</t>
  </si>
  <si>
    <t xml:space="preserve">Secure baseline TC01 — clean (TN)</t>
  </si>
  <si>
    <t xml:space="preserve">1 case</t>
  </si>
  <si>
    <t xml:space="preserve">Secure baseline TC01 — unverified</t>
  </si>
  <si>
    <t xml:space="preserve">Hybrid TC01 evidence conflict</t>
  </si>
  <si>
    <t xml:space="preserve">Legitimate TC12 — no finding (TN)</t>
  </si>
  <si>
    <t xml:space="preserve">Legitimate TC12 — context-sensitive (CONTEXT)</t>
  </si>
  <si>
    <t xml:space="preserve">Pending researcher decision</t>
  </si>
  <si>
    <t xml:space="preserve">Union and overlap (vulnerable cases)</t>
  </si>
  <si>
    <t xml:space="preserve">Detected by Checkov OR tfsec</t>
  </si>
  <si>
    <t xml:space="preserve">Scanner union</t>
  </si>
  <si>
    <t xml:space="preserve">Detected by AI independent (TP) but by neither scanner</t>
  </si>
  <si>
    <t xml:space="preserve">TC09 (TC08 is PARTIAL)</t>
  </si>
  <si>
    <t xml:space="preserve">Detected by a scanner but not by AI independent (TP)</t>
  </si>
  <si>
    <t xml:space="preserve">None expected</t>
  </si>
  <si>
    <t xml:space="preserve">Missed by all three</t>
  </si>
  <si>
    <t xml:space="preserve">Notes: counts are descriptive for 12 controlled fixtures. Alert counts are not quality measures; scanner rules for one condition are normalised to one detection. AI independent classification uses 3 identical runs per case.</t>
  </si>
  <si>
    <t xml:space="preserve">PR</t>
  </si>
  <si>
    <t xml:space="preserve">Run ID</t>
  </si>
  <si>
    <t xml:space="preserve">Event</t>
  </si>
  <si>
    <t xml:space="preserve">Started (UTC)</t>
  </si>
  <si>
    <t xml:space="preserve">Commit</t>
  </si>
  <si>
    <t xml:space="preserve">Condition (metadata)</t>
  </si>
  <si>
    <t xml:space="preserve">Scanner findings supplied to AI</t>
  </si>
  <si>
    <t xml:space="preserve">AI output status</t>
  </si>
  <si>
    <t xml:space="preserve">Confirmed findings</t>
  </si>
  <si>
    <t xml:space="preserve">Other findings (not in PR comment)</t>
  </si>
  <si>
    <t xml:space="preserve">Operational score</t>
  </si>
  <si>
    <t xml:space="preserve">Verdict</t>
  </si>
  <si>
    <t xml:space="preserve">pull_request</t>
  </si>
  <si>
    <t xml:space="preserve">2026-10-13 13:23:46</t>
  </si>
  <si>
    <t xml:space="preserve">92ab884</t>
  </si>
  <si>
    <t xml:space="preserve">INDEPENDENT</t>
  </si>
  <si>
    <t xml:space="preserve">FALSE</t>
  </si>
  <si>
    <t xml:space="preserve">parsed</t>
  </si>
  <si>
    <t xml:space="preserve">none</t>
  </si>
  <si>
    <t xml:space="preserve">FALSE_POSITIVE · INFORMATIONAL · Private DNS zone name extraction via split() index — plausible concern, not a defect</t>
  </si>
  <si>
    <t xml:space="preserve">APPROVE</t>
  </si>
  <si>
    <t xml:space="preserve">workflow_dispatch</t>
  </si>
  <si>
    <t xml:space="preserve">2026-10-13 13:26:53</t>
  </si>
  <si>
    <t xml:space="preserve">2026-10-13 13:27:41</t>
  </si>
  <si>
    <t xml:space="preserve">FALSE_POSITIVE · INFORMATIONAL · NSG deny-all outbound rule may be flagged as redundant by scanners
FALSE_POSITIVE · INFORMATIONAL · DDoS Protection Standard not enabled — inapplicable to research workload
FALSE_POSITIVE · INFORMATIONAL · Subnet NSG association is correctly configured</t>
  </si>
  <si>
    <t xml:space="preserve">3eda6f7</t>
  </si>
  <si>
    <t xml:space="preserve">HIGH · SECURITY_VULNERABILITY · Unrestricted inbound SSH access permitted from any source address</t>
  </si>
  <si>
    <t xml:space="preserve">APPROVE_WITH_COMMENTS</t>
  </si>
  <si>
    <t xml:space="preserve">2026-10-13 13:26:59</t>
  </si>
  <si>
    <t xml:space="preserve">HIGH · SECURITY_VULNERABILITY · Inbound SSH (port 22) permitted from any source address (0.0.0.0/0)</t>
  </si>
  <si>
    <t xml:space="preserve">2026-10-13 13:27:45</t>
  </si>
  <si>
    <t xml:space="preserve">HIGH · SECURITY_VULNERABILITY · NSG permits inbound SSH (TCP/22) from any source (0.0.0.0/0)</t>
  </si>
  <si>
    <t xml:space="preserve">2026-10-13 13:23:47</t>
  </si>
  <si>
    <t xml:space="preserve">27789d9</t>
  </si>
  <si>
    <t xml:space="preserve">HIGH · SECURITY_VULNERABILITY · RDP (TCP/3389) publicly accessible from any source address</t>
  </si>
  <si>
    <t xml:space="preserve">2026-10-13 13:27:00</t>
  </si>
  <si>
    <t xml:space="preserve">HIGH · SECURITY_VULNERABILITY · Unrestricted inbound RDP (port 3389) permitted from 0.0.0.0/0</t>
  </si>
  <si>
    <t xml:space="preserve">2026-10-13 13:27:48</t>
  </si>
  <si>
    <t xml:space="preserve">HIGH · SECURITY_VULNERABILITY · Unrestricted inbound RDP access from any source (0.0.0.0/0) on port 3389
HIGH · POLICY_OR_COMPLIANCE · SEC-001 violation: public RDP exposure without documented policy justification</t>
  </si>
  <si>
    <t xml:space="preserve">DO_NOT_MERGE</t>
  </si>
  <si>
    <t xml:space="preserve">2026-10-13 13:23:50</t>
  </si>
  <si>
    <t xml:space="preserve">cbc6855</t>
  </si>
  <si>
    <t xml:space="preserve">HIGH · SECURITY_VULNERABILITY · Unrestricted inbound HTTP (TCP/80) permitted from any source via NSG rule</t>
  </si>
  <si>
    <t xml:space="preserve">2026-10-13 13:27:06</t>
  </si>
  <si>
    <t xml:space="preserve">HIGH · SECURITY_VULNERABILITY · NSG allows unrestricted inbound HTTP (TCP/80) from any IPv4 address</t>
  </si>
  <si>
    <t xml:space="preserve">2026-10-13 13:27:53</t>
  </si>
  <si>
    <t xml:space="preserve">HIGH · SECURITY_VULNERABILITY · NSG rule permits unrestricted inbound HTTP (TCP/80) from any IPv4 source</t>
  </si>
  <si>
    <t xml:space="preserve">2026-10-13 13:23:48</t>
  </si>
  <si>
    <t xml:space="preserve">14486bd</t>
  </si>
  <si>
    <t xml:space="preserve">HIGH · POLICY_OR_COMPLIANCE · Subnet has no NSG association (NET-001 violation)</t>
  </si>
  <si>
    <t xml:space="preserve">NEEDS_CONTEXT · LOW · DNS configuration comment implies intended custom resolver not yet configured</t>
  </si>
  <si>
    <t xml:space="preserve">2026-10-13 13:27:10</t>
  </si>
  <si>
    <t xml:space="preserve">HIGH · POLICY_OR_COMPLIANCE · Subnet 'subnet-demo' has no NSG association (NET-001 violation)</t>
  </si>
  <si>
    <t xml:space="preserve">NEEDS_CONTEXT · LOW · VNet dns_servers is empty but comment references a custom resolver</t>
  </si>
  <si>
    <t xml:space="preserve">2026-10-13 13:27:57</t>
  </si>
  <si>
    <t xml:space="preserve">MEDIUM · POLICY_OR_COMPLIANCE · Subnet has no NSG association (NET-001 violation)</t>
  </si>
  <si>
    <t xml:space="preserve">NEEDS_CONTEXT · LOW · VNet DNS server configuration ambiguous relative to NET-002</t>
  </si>
  <si>
    <t xml:space="preserve">2026-10-13 13:23:51</t>
  </si>
  <si>
    <t xml:space="preserve">eb51ee9</t>
  </si>
  <si>
    <t xml:space="preserve">MEDIUM · POLICY_OR_COMPLIANCE · Virtual Network uses a public DNS server in violation of NET-002</t>
  </si>
  <si>
    <t xml:space="preserve">2026-10-13 13:27:14</t>
  </si>
  <si>
    <t xml:space="preserve">MEDIUM · POLICY_OR_COMPLIANCE · VNet configured with public DNS resolver in violation of NET-002</t>
  </si>
  <si>
    <t xml:space="preserve">2026-10-13 13:28:00</t>
  </si>
  <si>
    <t xml:space="preserve">MEDIUM · POLICY_OR_COMPLIANCE · VNet configured with public DNS server in violation of NET-002</t>
  </si>
  <si>
    <t xml:space="preserve">b6e93b7</t>
  </si>
  <si>
    <t xml:space="preserve">HIGH · SECURITY_VULNERABILITY · Storage account permits insecure TLS 1.0 and TLS 1.1 connections
LOW · POLICY_OR_COMPLIANCE · Storage account missing mandatory tags: owner, cost-center, research_case</t>
  </si>
  <si>
    <t xml:space="preserve">NEEDS_CONTEXT · MEDIUM · Storage account has no network access restrictions configured</t>
  </si>
  <si>
    <t xml:space="preserve">2026-10-13 13:27:16</t>
  </si>
  <si>
    <t xml:space="preserve">HIGH · SECURITY_VULNERABILITY · Storage account allows deprecated TLS 1.0 connections
LOW · POLICY_OR_COMPLIANCE · Storage account missing mandatory tags: owner and cost-center</t>
  </si>
  <si>
    <t xml:space="preserve">NEEDS_CONTEXT · MEDIUM · Storage account may permit public network access with no network restrictions configured</t>
  </si>
  <si>
    <t xml:space="preserve">2026-10-13 13:28:05</t>
  </si>
  <si>
    <t xml:space="preserve">HIGH · SECURITY_VULNERABILITY · Storage account permits deprecated TLS 1.0 connections
LOW · POLICY_OR_COMPLIANCE · Storage account missing mandatory tags: owner and cost-center</t>
  </si>
  <si>
    <t xml:space="preserve">NEEDS_CONTEXT · HIGH · Storage account may be publicly accessible with no network restriction</t>
  </si>
  <si>
    <t xml:space="preserve">2026-10-13 13:23:55</t>
  </si>
  <si>
    <t xml:space="preserve">c86e4d5</t>
  </si>
  <si>
    <t xml:space="preserve">AI step failed</t>
  </si>
  <si>
    <t xml:space="preserve">Output rejected by validator: FALSE_POSITIVE/INFORMATIONAL 'No azurerm_monitor_diagnostic_setting configured for the NSG' with a policy mapping to a non-confirmed finding</t>
  </si>
  <si>
    <t xml:space="preserve">2026-10-13 13:27:23</t>
  </si>
  <si>
    <t xml:space="preserve">NEEDS_CONTEXT · MEDIUM · No diagnostic setting configured for the NSG resource
FALSE_POSITIVE · INFORMATIONAL · Explicit outbound deny rule is intentional defense-in-depth, not redundant
FALSE_POSITIVE · INFORMATIONAL · Private-only Log Analytics access is intentional; no client workload in TC01 scope</t>
  </si>
  <si>
    <t xml:space="preserve">2026-10-13 13:28:07</t>
  </si>
  <si>
    <t xml:space="preserve">NEEDS_CONTEXT · MEDIUM · No azurerm_monitor_diagnostic_setting configured for the NSG resource</t>
  </si>
  <si>
    <t xml:space="preserve">2026-10-13 13:28:40</t>
  </si>
  <si>
    <t xml:space="preserve">MEDIUM · POLICY_OR_COMPLIANCE · No diagnostic setting configured to forward NSG logs to Log Analytics</t>
  </si>
  <si>
    <t xml:space="preserve">2026-10-13 13:23:54</t>
  </si>
  <si>
    <t xml:space="preserve">277a730</t>
  </si>
  <si>
    <t xml:space="preserve">MEDIUM · SECURITY_VULNERABILITY · Hardcoded secret value embedded in Terraform local in source-controlled file</t>
  </si>
  <si>
    <t xml:space="preserve">2026-10-13 13:27:28</t>
  </si>
  <si>
    <t xml:space="preserve">MEDIUM · SECURITY_VULNERABILITY · Hardcoded credential-shaped string stored as a plaintext Terraform local in source control</t>
  </si>
  <si>
    <t xml:space="preserve">2026-10-13 13:28:12</t>
  </si>
  <si>
    <t xml:space="preserve">MEDIUM · SECURITY_VULNERABILITY · Hardcoded secret-like string embedded in Terraform local value</t>
  </si>
  <si>
    <t xml:space="preserve">2026-10-13 13:23:59</t>
  </si>
  <si>
    <t xml:space="preserve">bd8a61f</t>
  </si>
  <si>
    <t xml:space="preserve">HIGH · SECURITY_VULNERABILITY · Custom role definition grants unrestricted wildcard ('*') permissions at subscription scope
LOW · POLICY_OR_COMPLIANCE · Custom role definition is missing mandatory tags required by TAG-001</t>
  </si>
  <si>
    <t xml:space="preserve">2026-10-13 13:27:31</t>
  </si>
  <si>
    <t xml:space="preserve">HIGH · SECURITY_VULNERABILITY · Custom role definition grants wildcard (*) permissions at subscription scope</t>
  </si>
  <si>
    <t xml:space="preserve">2026-10-13 13:28:16</t>
  </si>
  <si>
    <t xml:space="preserve">HIGH · SECURITY_VULNERABILITY · Subscription-scoped wildcard role definition grants unrestricted ARM permissions
LOW · POLICY_OR_COMPLIANCE · Custom role definition missing mandatory tags required by TAG-001</t>
  </si>
  <si>
    <t xml:space="preserve">2026-10-13 13:23:57</t>
  </si>
  <si>
    <t xml:space="preserve">3dd9a04</t>
  </si>
  <si>
    <t xml:space="preserve">HIGH · SECURITY_VULNERABILITY · Custom RBAC role grants wildcard (*) permissions at subscription scope, violating least privilege</t>
  </si>
  <si>
    <t xml:space="preserve">2026-10-13 13:27:32</t>
  </si>
  <si>
    <t xml:space="preserve">HIGH · SECURITY_VULNERABILITY · Custom role grants wildcard subscription-scope permissions far exceeding documented task requirements</t>
  </si>
  <si>
    <t xml:space="preserve">2026-10-13 13:28:23</t>
  </si>
  <si>
    <t xml:space="preserve">HIGH · SECURITY_VULNERABILITY · Custom role definition grants wildcard subscription-scope permissions far exceeding documented task requirements</t>
  </si>
  <si>
    <t xml:space="preserve">2026-10-13 13:24:01</t>
  </si>
  <si>
    <t xml:space="preserve">9cee1fe</t>
  </si>
  <si>
    <t xml:space="preserve">HIGH · SECURITY_VULNERABILITY · NSG rule permits unrestricted public inbound HTTPS to the entire subnet
MEDIUM · POLICY_OR_COMPLIANCE · SEC-001: Public exposure broader than documented justification
LOW · POLICY_OR_COMPLIANCE · TAG-001: azurerm_network_security_rule.tc12_public_https missing mandatory tags</t>
  </si>
  <si>
    <t xml:space="preserve">2026-10-13 13:27:39</t>
  </si>
  <si>
    <t xml:space="preserve">LOW · POLICY_OR_COMPLIANCE · NSG security rule tc12_public_https is missing mandatory tags (TAG-001)</t>
  </si>
  <si>
    <t xml:space="preserve">NEEDS_CONTEXT · LOW · Public HTTPS rule uses wildcard destination address prefix — scope unknown</t>
  </si>
  <si>
    <t xml:space="preserve">2026-10-13 13:28:25</t>
  </si>
  <si>
    <t xml:space="preserve">NEEDS_CONTEXT · MEDIUM · AllowPublicHTTPS-TC12 rule uses wildcard destination address prefix
FALSE_POSITIVE · INFORMATIONAL · Public inbound HTTPS rule is explicitly justified — not a SEC-001 violation
FALSE_POSITIVE · INFORMATIONAL · azurerm_network_security_rule does not support tags — TAG-001 not applicable</t>
  </si>
  <si>
    <t xml:space="preserve">Source: experiment-metadata.json and ai_output.json in each prom06-INDEPENDENT-&lt;run_id&gt; artifact (downloaded by AB, 13 Oct 2026). Model: claude-sonnet-4-6 (hard-coded in ai/review_runner.py; not recorded in metadata); no temperature set.</t>
  </si>
  <si>
    <t xml:space="preserve">Checkov passed</t>
  </si>
  <si>
    <t xml:space="preserve">Checkov failed</t>
  </si>
  <si>
    <t xml:space="preserve">Checkov failed check IDs</t>
  </si>
  <si>
    <t xml:space="preserve">tfsec findings (rule · severity · resource)</t>
  </si>
  <si>
    <t xml:space="preserve">Identical across independent runs</t>
  </si>
  <si>
    <t xml:space="preserve">Matches local reproduction</t>
  </si>
  <si>
    <t xml:space="preserve">Matches earlier Condition C PR comment</t>
  </si>
  <si>
    <t xml:space="preserve">Yes (3/3; TC08 4/4)</t>
  </si>
  <si>
    <t xml:space="preserve">Yes</t>
  </si>
  <si>
    <t xml:space="preserve">AVD-AZU-0047 · CRITICAL · azurerm_network_security_group.nsg
AVD-AZU-0050 · CRITICAL · azurerm_network_security_group.nsg</t>
  </si>
  <si>
    <t xml:space="preserve">AVD-AZU-0048 · CRITICAL · azurerm_network_security_group.nsg
AVD-AZU-0047 · CRITICAL · azurerm_network_security_group.nsg</t>
  </si>
  <si>
    <t xml:space="preserve">AVD-AZU-0047 · CRITICAL · azurerm_network_security_group.nsg</t>
  </si>
  <si>
    <t xml:space="preserve">CKV2_AZURE_31</t>
  </si>
  <si>
    <t xml:space="preserve">CKV_AZURE_183, CKV_AZURE_182</t>
  </si>
  <si>
    <t xml:space="preserve">CKV_AZURE_59, CKV_AZURE_206, CKV_AZURE_190, CKV_AZURE_33, CKV_AZURE_44, CKV2_AZURE_47, CKV2_AZURE_38, CKV2_AZURE_40, CKV2_AZURE_33, CKV2_AZURE_41, CKV2_AZURE_1</t>
  </si>
  <si>
    <t xml:space="preserve">AVD-AZU-0011 · CRITICAL · azurerm_storage_account.tc07_storage</t>
  </si>
  <si>
    <t xml:space="preserve">CKV_AZURE_39</t>
  </si>
  <si>
    <t xml:space="preserve">AVD-AZU-0047 · CRITICAL · azurerm_network_security_rule.tc12_public_https</t>
  </si>
  <si>
    <t xml:space="preserve">Local reproduction: Checkov 3.3.1 (--framework terraform --output json) and tfsec v1.28.14 (--format json) on each indep-tc branch, 13 Oct 2026. Checkov OSS JSON reports no severity. Probe: changing TC02 source '0.0.0.0/0' to '*' makes CKV_AZURE_10 fail.</t>
  </si>
  <si>
    <t xml:space="preserve">Head commit</t>
  </si>
  <si>
    <t xml:space="preserve">Run attempts</t>
  </si>
  <si>
    <t xml:space="preserve">AI result (PR comment)</t>
  </si>
  <si>
    <t xml:space="preserve">Scanner IDs cited by AI</t>
  </si>
  <si>
    <t xml:space="preserve">Notes</t>
  </si>
  <si>
    <t xml:space="preserve">#46</t>
  </si>
  <si>
    <t xml:space="preserve">0003ccf</t>
  </si>
  <si>
    <t xml:space="preserve">37804553671</t>
  </si>
  <si>
    <t xml:space="preserve">55/100 DO_NOT_MERGE: MEDIUM TAG-001, MEDIUM LOG-001 confirmed; context note on missing explicit NSG rules</t>
  </si>
  <si>
    <t xml:space="preserve">none (no scanner context in code at that time)</t>
  </si>
  <si>
    <t xml:space="preserve">Older fixture (no tags/logging); later baseline changed</t>
  </si>
  <si>
    <t xml:space="preserve">#55</t>
  </si>
  <si>
    <t xml:space="preserve">aea09b1</t>
  </si>
  <si>
    <t xml:space="preserve">37941043133</t>
  </si>
  <si>
    <t xml:space="preserve">Screenshot shows 100/100 clean, but PR changed only PROM06-TC-01.md so AI should have been skipped; comment posted 11 min before scanner comments</t>
  </si>
  <si>
    <t xml:space="preserve">Not traceable to its own run — UNVERIFIED</t>
  </si>
  <si>
    <t xml:space="preserve">#56</t>
  </si>
  <si>
    <t xml:space="preserve">1112b8b</t>
  </si>
  <si>
    <t xml:space="preserve">37949921520</t>
  </si>
  <si>
    <t xml:space="preserve">70/100: CRITICAL SSH</t>
  </si>
  <si>
    <t xml:space="preserve">AVD-AZU-0047, AVD-AZU-0050</t>
  </si>
  <si>
    <t xml:space="preserve">#57</t>
  </si>
  <si>
    <t xml:space="preserve">4d213c6</t>
  </si>
  <si>
    <t xml:space="preserve">38240217182</t>
  </si>
  <si>
    <t xml:space="preserve">70/100: CRITICAL RDP</t>
  </si>
  <si>
    <t xml:space="preserve">AVD-AZU-0048, AVD-AZU-0047</t>
  </si>
  <si>
    <t xml:space="preserve">#58</t>
  </si>
  <si>
    <t xml:space="preserve">4d2f880</t>
  </si>
  <si>
    <t xml:space="preserve">38241873851</t>
  </si>
  <si>
    <t xml:space="preserve">70/100: HIGH HTTP</t>
  </si>
  <si>
    <t xml:space="preserve">AVD-AZU-0047</t>
  </si>
  <si>
    <t xml:space="preserve">PR closed unmerged</t>
  </si>
  <si>
    <t xml:space="preserve">#59</t>
  </si>
  <si>
    <t xml:space="preserve">dad9df3</t>
  </si>
  <si>
    <t xml:space="preserve">38243286069</t>
  </si>
  <si>
    <t xml:space="preserve">85/100: MEDIUM NET-001</t>
  </si>
  <si>
    <t xml:space="preserve">#61</t>
  </si>
  <si>
    <t xml:space="preserve">1ea2c15</t>
  </si>
  <si>
    <t xml:space="preserve">38245294170</t>
  </si>
  <si>
    <t xml:space="preserve">85/100: MEDIUM NET-002</t>
  </si>
  <si>
    <t xml:space="preserve">#60 was an earlier TC06 variant</t>
  </si>
  <si>
    <t xml:space="preserve">#63</t>
  </si>
  <si>
    <t xml:space="preserve">de8549e</t>
  </si>
  <si>
    <t xml:space="preserve">38281784140</t>
  </si>
  <si>
    <t xml:space="preserve">25/100: CRITICAL TLS, MEDIUM TAG-001, HIGH public network</t>
  </si>
  <si>
    <t xml:space="preserve">AVD-AZU-0011, CKV_AZURE_44, CKV_AZURE_59, CKV2_AZURE_47/33/40</t>
  </si>
  <si>
    <t xml:space="preserve">#62 web-app variant not used</t>
  </si>
  <si>
    <t xml:space="preserve">#64</t>
  </si>
  <si>
    <t xml:space="preserve">7cb9014</t>
  </si>
  <si>
    <t xml:space="preserve">38283490262</t>
  </si>
  <si>
    <t xml:space="preserve">85/100: MEDIUM LOG-001</t>
  </si>
  <si>
    <t xml:space="preserve">none (scanners clean)</t>
  </si>
  <si>
    <t xml:space="preserve">#65</t>
  </si>
  <si>
    <t xml:space="preserve">eca6e99</t>
  </si>
  <si>
    <t xml:space="preserve">38285110293</t>
  </si>
  <si>
    <t xml:space="preserve">85/100: MEDIUM hard-coded secret</t>
  </si>
  <si>
    <t xml:space="preserve">3 attempts; claimed value would be stored in state</t>
  </si>
  <si>
    <t xml:space="preserve">#66</t>
  </si>
  <si>
    <t xml:space="preserve">dd05ba4</t>
  </si>
  <si>
    <t xml:space="preserve">38287543507</t>
  </si>
  <si>
    <t xml:space="preserve">Attempt 1: 40/100, 2 × CRITICAL; attempt 2 (13 Oct): 70/100, 1 × HIGH</t>
  </si>
  <si>
    <t xml:space="preserve">Explains matrix severity conflict</t>
  </si>
  <si>
    <t xml:space="preserve">#67</t>
  </si>
  <si>
    <t xml:space="preserve">960dac3</t>
  </si>
  <si>
    <t xml:space="preserve">38288761497</t>
  </si>
  <si>
    <t xml:space="preserve">Both attempts 70/100: 1 × HIGH</t>
  </si>
  <si>
    <t xml:space="preserve">CKV_AZURE_39 (listed as a 'policy mapping' in attempt 2)</t>
  </si>
  <si>
    <t xml:space="preserve">Confluence heading 'AI-only (B)' incorrect</t>
  </si>
  <si>
    <t xml:space="preserve">#68</t>
  </si>
  <si>
    <t xml:space="preserve">709316c</t>
  </si>
  <si>
    <t xml:space="preserve">38289955785</t>
  </si>
  <si>
    <t xml:space="preserve">85/100: MEDIUM SEC-001 scope concern</t>
  </si>
  <si>
    <t xml:space="preserve">Runs on 9–12 Oct used workflow default Condition C with build_scanner_context() (added 9 Oct 12:47, commit 732083d), so the AI prompt contained normalised scanner findings. Run IDs/attempts from GitHub Actions API.</t>
  </si>
  <si>
    <t xml:space="preserve">#</t>
  </si>
  <si>
    <t xml:space="preserve">Item</t>
  </si>
  <si>
    <t xml:space="preserve">Proposed treatment</t>
  </si>
  <si>
    <t xml:space="preserve">AB decision</t>
  </si>
  <si>
    <t xml:space="preserve">TC12 tfsec AVD-AZU-0047 and AI SEC-001: count the shared-NSG / wildcard-destination scope as a separate weakness?</t>
  </si>
  <si>
    <t xml:space="preserve">Keep as CONTEXT; report both readings (FP against TC12-GT-01 vs valid scope concern).</t>
  </si>
  <si>
    <t xml:space="preserve">Agreed — proposed treatment adopted (AB, 13 Oct 2026)</t>
  </si>
  <si>
    <t xml:space="preserve">TC08 AI result</t>
  </si>
  <si>
    <t xml:space="preserve">Report PARTIAL: raised 4/4, confirmed 1/3 successful runs; treat as classification instability.</t>
  </si>
  <si>
    <t xml:space="preserve">TC01 hybrid result</t>
  </si>
  <si>
    <t xml:space="preserve">Report as UNVERIFIED; use independent TC01 (clean 3/3) as the baseline result; disclose baseline evolution.</t>
  </si>
  <si>
    <t xml:space="preserve">TC11 construct</t>
  </si>
  <si>
    <t xml:space="preserve">Count detections, but state the case does not isolate multi-file reasoning (wildcard alone triggers CKV_AZURE_39).</t>
  </si>
  <si>
    <t xml:space="preserve">AI TAG-001 findings on non-taggable resources (TC10, TC12)</t>
  </si>
  <si>
    <t xml:space="preserve">Count as AI false positives (unrelated to target).</t>
  </si>
  <si>
    <t xml:space="preserve">Input asymmetry: only the AI receives ai/policy.md (NET-001, NET-002, LOG-001, SEC-001, TAG-001)</t>
  </si>
  <si>
    <t xml:space="preserve">Report as a fairness/validity limitation, especially for TC05, TC06, TC08, TC12.</t>
  </si>
  <si>
    <t xml:space="preserve">Severity comparison</t>
  </si>
  <si>
    <t xml:space="preserve">Do not compare severities across tools; report AI severity variability only.</t>
  </si>
  <si>
    <t xml:space="preserve">Ground truth source</t>
  </si>
  <si>
    <t xml:space="preserve">Use Confluence v72 per-case ground truth (more specific than GT Matrix v1.0); note GT v1.0 TC04 wording differs.</t>
  </si>
  <si>
    <t xml:space="preserve">Checkov TC02–TC04 misses</t>
  </si>
  <si>
    <t xml:space="preserve">Report as reproducible rule-matching limitation with the local probe as evidence.</t>
  </si>
  <si>
    <t xml:space="preserve">Close PRs #56–#81 without merging after sign-off</t>
  </si>
  <si>
    <t xml:space="preserve">AI explanation and remediation quality — operational scoring rules</t>
  </si>
  <si>
    <t xml:space="preserve">Rubric dimensions and 0–2 scale come from the TC01–TC12 Ground-Truth Matrix (remediation-quality rubric). The operational definitions below were written on 13 Oct 2026 to make the rubric applicable consistently. They were written AFTER the AI outputs had been read, by an AI assistant (Claude) acting as scorer; see the disclosure at the bottom.</t>
  </si>
  <si>
    <t xml:space="preserve">Dimension</t>
  </si>
  <si>
    <t xml:space="preserve">2 = full</t>
  </si>
  <si>
    <t xml:space="preserve">1 = partial</t>
  </si>
  <si>
    <t xml:space="preserve">0 = none / wrong</t>
  </si>
  <si>
    <t xml:space="preserve">D  Detection correctness (vulnerable case)</t>
  </si>
  <si>
    <t xml:space="preserve">Target condition raised as CONFIRMED on the correct resource.</t>
  </si>
  <si>
    <t xml:space="preserve">Target raised but as NEEDS_CONTEXT (hidden from PR comment), or only partly identified.</t>
  </si>
  <si>
    <t xml:space="preserve">Target not raised, classified FALSE_POSITIVE, or run failed validation.</t>
  </si>
  <si>
    <t xml:space="preserve">D  Detection correctness (non-vulnerable case)</t>
  </si>
  <si>
    <t xml:space="preserve">No confirmed finding against the acceptable configuration.</t>
  </si>
  <si>
    <t xml:space="preserve">Only a LOW or unrelated confirmed finding.</t>
  </si>
  <si>
    <t xml:space="preserve">Blocks (fails the gate on) the acceptable configuration.</t>
  </si>
  <si>
    <t xml:space="preserve">E  Explanation accuracy</t>
  </si>
  <si>
    <t xml:space="preserve">Every technical and policy claim is correct.</t>
  </si>
  <si>
    <t xml:space="preserve">Contains one or more inaccurate claims, or maps the finding to an inapplicable policy (e.g. SEC-001 'public exposure' applied to IAM, TLS or secrets; tags claimed on a non-taggable resource type).</t>
  </si>
  <si>
    <t xml:space="preserve">Core explanation materially wrong.</t>
  </si>
  <si>
    <t xml:space="preserve">I  Impact explanation</t>
  </si>
  <si>
    <t xml:space="preserve">Specific consequence for this configuration (who can reach/do what).</t>
  </si>
  <si>
    <t xml:space="preserve">Generic or partly inaccurate impact.</t>
  </si>
  <si>
    <t xml:space="preserve">Missing.</t>
  </si>
  <si>
    <t xml:space="preserve">R  Remediation quality</t>
  </si>
  <si>
    <t xml:space="preserve">Correct, actionable, addresses the root cause and would yield the ground-truth secure state.</t>
  </si>
  <si>
    <t xml:space="preserve">Partly correct, or misses part of the secure state, or adds questionable advice.</t>
  </si>
  <si>
    <t xml:space="preserve">Wrong or absent.</t>
  </si>
  <si>
    <t xml:space="preserve">C  Context awareness</t>
  </si>
  <si>
    <t xml:space="preserve">Correctly uses related resources/files (associations, requirements, other files).</t>
  </si>
  <si>
    <t xml:space="preserve">Some context used but incomplete or misread.</t>
  </si>
  <si>
    <t xml:space="preserve">Ignores relevant context.</t>
  </si>
  <si>
    <t xml:space="preserve">U  Developer usefulness</t>
  </si>
  <si>
    <t xml:space="preserve">A developer could act on the PR comment immediately; no noise.</t>
  </si>
  <si>
    <t xml:space="preserve">Useful but with noise: extra false or duplicate CONFIRMED findings.</t>
  </si>
  <si>
    <t xml:space="preserve">Misleading or useless in the PR comment: target hidden (NEEDS_CONTEXT is not shown), run failed, or legitimate configuration blocked.</t>
  </si>
  <si>
    <t xml:space="preserve">Application notes</t>
  </si>
  <si>
    <t xml:space="preserve">1. Scope: vulnerable cases (TC02–TC11) are scored on all six dimensions (max 12). Non-vulnerable cases (TC01, TC12) are scored on D, E and U only (max 6); I, R and C are 'n/a'.</t>
  </si>
  <si>
    <t xml:space="preserve">2. Each run is scored separately (3 runs per case; 4 for TC08 because one PR run failed validation and a fourth dispatch was made).</t>
  </si>
  <si>
    <t xml:space="preserve">3. Only the AI output of the INDEPENDENT condition is scored (scanner_findings_supplied_to_ai = false). Hybrid (Condition C) outputs are not scored here.</t>
  </si>
  <si>
    <t xml:space="preserve">4. Policy mis-mapping is penalised under E only (not U) to avoid double counting; it is also flagged separately in column O of 'AI Quality Scoring' so analysis can exclude it.</t>
  </si>
  <si>
    <t xml:space="preserve">5. Disclosure / validity threat: the scorer is an AI assistant that read all outputs before writing these rules. To mitigate, AB should independently score the stratified sample on 'Inter-rater Check' before results are reported; agreement is calculated there.</t>
  </si>
  <si>
    <t xml:space="preserve">6. TC13–TC15 (added 13 Oct 2026) are not yet scored: their full ai_output.json artefacts still need to be downloaded.</t>
  </si>
  <si>
    <t xml:space="preserve">TC</t>
  </si>
  <si>
    <t xml:space="preserve">Run</t>
  </si>
  <si>
    <t xml:space="preserve">Ground truth</t>
  </si>
  <si>
    <t xml:space="preserve">Target status in AI output</t>
  </si>
  <si>
    <t xml:space="preserve">D</t>
  </si>
  <si>
    <t xml:space="preserve">E</t>
  </si>
  <si>
    <t xml:space="preserve">I</t>
  </si>
  <si>
    <t xml:space="preserve">R</t>
  </si>
  <si>
    <t xml:space="preserve">C</t>
  </si>
  <si>
    <t xml:space="preserve">U</t>
  </si>
  <si>
    <t xml:space="preserve">Total</t>
  </si>
  <si>
    <t xml:space="preserve">Max</t>
  </si>
  <si>
    <t xml:space="preserve">Score %</t>
  </si>
  <si>
    <t xml:space="preserve">Policy mis-map?</t>
  </si>
  <si>
    <t xml:space="preserve">Noise in PR comment?</t>
  </si>
  <si>
    <t xml:space="preserve">Scorer justification</t>
  </si>
  <si>
    <t xml:space="preserve">38404582550</t>
  </si>
  <si>
    <t xml:space="preserve">Not vulnerable</t>
  </si>
  <si>
    <t xml:space="preserve">No confirmed findings</t>
  </si>
  <si>
    <t xml:space="preserve">n/a</t>
  </si>
  <si>
    <t xml:space="preserve">N</t>
  </si>
  <si>
    <t xml:space="preserve">Clean. One FALSE_POSITIVE informational note (DNS zone name split) correctly dismissed; not shown in PR comment.</t>
  </si>
  <si>
    <t xml:space="preserve">38405003190</t>
  </si>
  <si>
    <t xml:space="preserve">No findings</t>
  </si>
  <si>
    <t xml:space="preserve">Clean; no findings.</t>
  </si>
  <si>
    <t xml:space="preserve">38405111880</t>
  </si>
  <si>
    <t xml:space="preserve">Clean. Three FALSE_POSITIVE informational notes, all correct dismissals (outbound deny, DDoS not applicable, NSG association present).</t>
  </si>
  <si>
    <t xml:space="preserve">38404584887</t>
  </si>
  <si>
    <t xml:space="preserve">CONFIRMED</t>
  </si>
  <si>
    <t xml:space="preserve">SSH 22 from 0.0.0.0/0 identified on the correct rule; specific internet brute-force impact; restrict source to approved CIDR/Bastion; uses NSG–subnet association.</t>
  </si>
  <si>
    <t xml:space="preserve">38405012851</t>
  </si>
  <si>
    <t xml:space="preserve">As run 1; accurate and actionable.</t>
  </si>
  <si>
    <t xml:space="preserve">38405121064</t>
  </si>
  <si>
    <t xml:space="preserve">38404589228</t>
  </si>
  <si>
    <t xml:space="preserve">RDP 3389 from any source; SEC-001 mapping appropriate (public exposure); remediation restricts source / Bastion.</t>
  </si>
  <si>
    <t xml:space="preserve">38405022162</t>
  </si>
  <si>
    <t xml:space="preserve">As run 1.</t>
  </si>
  <si>
    <t xml:space="preserve">38405130215</t>
  </si>
  <si>
    <t xml:space="preserve">Y</t>
  </si>
  <si>
    <t xml:space="preserve">Target correct, but a second CONFIRMED HIGH finding (F-002 'SEC-001 violation') duplicates F-001 — duplicate noise in the PR comment.</t>
  </si>
  <si>
    <t xml:space="preserve">38404592498</t>
  </si>
  <si>
    <t xml:space="preserve">HTTP 80 from any source identified; impact framed as generic exposure with no reference to unencrypted HTTP; remediation restricts source only, no HTTPS/redirect alternative.</t>
  </si>
  <si>
    <t xml:space="preserve">38405031009</t>
  </si>
  <si>
    <t xml:space="preserve">As run 1 (no unencrypted-transport reasoning, no HTTPS alternative).</t>
  </si>
  <si>
    <t xml:space="preserve">38405139458</t>
  </si>
  <si>
    <t xml:space="preserve">38404594354</t>
  </si>
  <si>
    <t xml:space="preserve">Missing subnet–NSG association found by cross-file reasoning (NSG exists, no association). Extra NEEDS_CONTEXT LOW note on DNS comment, not shown in PR comment.</t>
  </si>
  <si>
    <t xml:space="preserve">38405039302</t>
  </si>
  <si>
    <t xml:space="preserve">38405149036</t>
  </si>
  <si>
    <t xml:space="preserve">As run 1 (severity MEDIUM rather than HIGH; does not affect rubric).</t>
  </si>
  <si>
    <t xml:space="preserve">38404596950</t>
  </si>
  <si>
    <t xml:space="preserve">Public DNS resolver on VNet mapped correctly to NET-002; remediation: Azure-provided or internal DNS.</t>
  </si>
  <si>
    <t xml:space="preserve">38405047995</t>
  </si>
  <si>
    <t xml:space="preserve">38405157604</t>
  </si>
  <si>
    <t xml:space="preserve">38404600206</t>
  </si>
  <si>
    <t xml:space="preserve">min_tls_version TLS1_0 correctly identified with TLS1_2 remediation. TLS finding mapped to SEC-001 (public exposure) — inapplicable; no encryption policy exists in ai/policy.md. Tag finding (owner, cost-center missing) is correct.</t>
  </si>
  <si>
    <t xml:space="preserve">38405057461</t>
  </si>
  <si>
    <t xml:space="preserve">As run 1 (SEC-001 mis-mapping; tag finding correct).</t>
  </si>
  <si>
    <t xml:space="preserve">38405166219</t>
  </si>
  <si>
    <t xml:space="preserve">38404605125</t>
  </si>
  <si>
    <t xml:space="preserve">FALSE_POSITIVE (run failed validation)</t>
  </si>
  <si>
    <t xml:space="preserve">Missing NSG diagnostic setting raised but classified FALSE_POSITIVE while mapped to LOG-001; validate_review rejected output, run failed. Summary misreads the comment as stating the omission is intentional. Recommendation itself correct. No PR comment produced.</t>
  </si>
  <si>
    <t xml:space="preserve">38405066857</t>
  </si>
  <si>
    <t xml:space="preserve">NEEDS_CONTEXT</t>
  </si>
  <si>
    <t xml:space="preserve">Explanation, impact and remediation (diagnostic setting with both NSG categories) accurate, but NEEDS_CONTEXT is not shown in the PR comment, so the developer sees no finding.</t>
  </si>
  <si>
    <t xml:space="preserve">38405174844</t>
  </si>
  <si>
    <t xml:space="preserve">As run 2.</t>
  </si>
  <si>
    <t xml:space="preserve">38405218950</t>
  </si>
  <si>
    <t xml:space="preserve">CONFIRMED and mapped to LOG-001 with a complete azurerm_monitor_diagnostic_setting example.</t>
  </si>
  <si>
    <t xml:space="preserve">38404607277</t>
  </si>
  <si>
    <t xml:space="preserve">Hard-coded credential in local found (scanners missed it). Claims the unused local would appear in state/plan — inaccurate for an unreferenced local. Remediation (Key Vault / sensitive variable, rotate) correct.</t>
  </si>
  <si>
    <t xml:space="preserve">38405075984</t>
  </si>
  <si>
    <t xml:space="preserve">As run 1, plus mapped to SEC-001 (public exposure) — inapplicable to secrets.</t>
  </si>
  <si>
    <t xml:space="preserve">38405183161</t>
  </si>
  <si>
    <t xml:space="preserve">38404612132</t>
  </si>
  <si>
    <t xml:space="preserve">Wildcard Actions at subscription scope correctly identified. Second CONFIRMED finding claims azurerm_role_definition needs TAG-001 tags — resource is not taggable (false positive). Remediation includes questionable lifecycle advice.</t>
  </si>
  <si>
    <t xml:space="preserve">38405084901</t>
  </si>
  <si>
    <t xml:space="preserve">Target correct; mapped to SEC-001 (public exposure) — inapplicable to IAM.</t>
  </si>
  <si>
    <t xml:space="preserve">38405192342</t>
  </si>
  <si>
    <t xml:space="preserve">Target correct; SEC-001 mis-mapping plus false TAG-001 finding on non-taggable role definition.</t>
  </si>
  <si>
    <t xml:space="preserve">38404613836</t>
  </si>
  <si>
    <t xml:space="preserve">Wildcard custom role vs documented least-privilege task requirement in another file identified; SEC-001 mis-mapping. (Construct not isolated: wildcard alone also triggers Checkov CKV_AZURE_39.)</t>
  </si>
  <si>
    <t xml:space="preserve">38405093864</t>
  </si>
  <si>
    <t xml:space="preserve">As run 1; explicitly compares against documented task requirements.</t>
  </si>
  <si>
    <t xml:space="preserve">38405200842</t>
  </si>
  <si>
    <t xml:space="preserve">As run 2, without policy mis-mapping.</t>
  </si>
  <si>
    <t xml:space="preserve">38404619147</t>
  </si>
  <si>
    <t xml:space="preserve">CONFIRMED HIGH (blocks)</t>
  </si>
  <si>
    <t xml:space="preserve">Legitimate public HTTPS treated as HIGH vulnerability; gate blocked (score 50). Also claims azurerm_network_security_rule supports tags (false).</t>
  </si>
  <si>
    <t xml:space="preserve">38405103514</t>
  </si>
  <si>
    <t xml:space="preserve">CONFIRMED LOW (tag) only</t>
  </si>
  <si>
    <t xml:space="preserve">HTTPS exposure correctly not confirmed (destination-scope note as NEEDS_CONTEXT). Confirmed LOW TAG-001 finding is false: network security rules are not taggable.</t>
  </si>
  <si>
    <t xml:space="preserve">38405210047</t>
  </si>
  <si>
    <t xml:space="preserve">Correctly accepted; correctly states rules are not taggable. Caveat: cites the fixture comment 'Ground truth: public TCP/443 ingress is intentional' — the test file cues the answer.</t>
  </si>
  <si>
    <t xml:space="preserve">Blue = scorer input (0–2). Totals and percentages are formulas. Source: ai_output.json in each prom06-INDEPENDENT-&lt;run_id&gt; artefact; rules on 'Scoring Rules'.</t>
  </si>
  <si>
    <t xml:space="preserve">Summary (formulas)</t>
  </si>
  <si>
    <t xml:space="preserve">Mean — vulnerable runs (TC02–TC11)</t>
  </si>
  <si>
    <t xml:space="preserve">Mean — non-vulnerable runs (TC01, TC12)</t>
  </si>
  <si>
    <t xml:space="preserve">Runs with policy mis-mapping</t>
  </si>
  <si>
    <t xml:space="preserve">Runs with noise in PR comment</t>
  </si>
  <si>
    <t xml:space="preserve">Vulnerable runs scoring 2 on every dimension</t>
  </si>
  <si>
    <t xml:space="preserve">Per test case</t>
  </si>
  <si>
    <t xml:space="preserve">Runs</t>
  </si>
  <si>
    <t xml:space="preserve">Mean D</t>
  </si>
  <si>
    <t xml:space="preserve">Mean E</t>
  </si>
  <si>
    <t xml:space="preserve">Mean U</t>
  </si>
  <si>
    <t xml:space="preserve">Mean R (vuln.)</t>
  </si>
  <si>
    <t xml:space="preserve">Mean score %</t>
  </si>
  <si>
    <t xml:space="preserve">Min score %</t>
  </si>
  <si>
    <t xml:space="preserve">Inter-rater check — AB to score independently</t>
  </si>
  <si>
    <t xml:space="preserve">How to use: before looking at the 'AI Quality Scoring' sheet, open each run's ai_output.json (or PR comment) and the ground truth, apply 'Scoring Rules', and type your 0–2 scores in the yellow cells (columns D–I; leave I/R/C blank for TC01/TC12). Agreement updates automatically. Sample: 10 of 37 runs, stratified to include clean, partial, failed and false-positive cases.</t>
  </si>
  <si>
    <t xml:space="preserve">Example of the expected format (not part of the sample): TC02 run 1 → D 2, E 2, I 2, R 2, C 2, U 2.</t>
  </si>
  <si>
    <t xml:space="preserve">AB: D</t>
  </si>
  <si>
    <t xml:space="preserve">AB: E</t>
  </si>
  <si>
    <t xml:space="preserve">AB: I</t>
  </si>
  <si>
    <t xml:space="preserve">AB: R</t>
  </si>
  <si>
    <t xml:space="preserve">AB: C</t>
  </si>
  <si>
    <t xml:space="preserve">AB: U</t>
  </si>
  <si>
    <t xml:space="preserve">AI scorer: D</t>
  </si>
  <si>
    <t xml:space="preserve">Exact matches</t>
  </si>
  <si>
    <t xml:space="preserve">Dimensions scored</t>
  </si>
  <si>
    <t xml:space="preserve">Within 1 point</t>
  </si>
  <si>
    <t xml:space="preserve">Exact agreement</t>
  </si>
  <si>
    <t xml:space="preserve">Agreement within 1 point</t>
  </si>
  <si>
    <t xml:space="preserve">Green = linked from 'AI Quality Scoring'. Discuss and record any disagreement &gt; 1 point before reporting; do not overwrite the original AI-scorer values.</t>
  </si>
  <si>
    <t xml:space="preserve">Ground-truth vulnerability</t>
  </si>
  <si>
    <t xml:space="preserve">Checkov result</t>
  </si>
  <si>
    <t xml:space="preserve">tfsec result</t>
  </si>
  <si>
    <t xml:space="preserve">AI reviewer result</t>
  </si>
  <si>
    <t xml:space="preserve">Secure Baseline</t>
  </si>
  <si>
    <t xml:space="preserve">No Security Issue Detected</t>
  </si>
  <si>
    <t xml:space="preserve">Unrestricted SSH ingress</t>
  </si>
  <si>
    <t xml:space="preserve">Not Detected</t>
  </si>
  <si>
    <t xml:space="preserve">Detected — critical</t>
  </si>
  <si>
    <t xml:space="preserve">Unrestricted RDP ingress</t>
  </si>
  <si>
    <t xml:space="preserve">Public HTTP ingress</t>
  </si>
  <si>
    <t xml:space="preserve">Detected - High</t>
  </si>
  <si>
    <t xml:space="preserve">Missing NSG association</t>
  </si>
  <si>
    <t xml:space="preserve">Detected</t>
  </si>
  <si>
    <t xml:space="preserve">Not detected</t>
  </si>
  <si>
    <t xml:space="preserve">Detected - Medium</t>
  </si>
  <si>
    <t xml:space="preserve">Public DNS configuration</t>
  </si>
  <si>
    <t xml:space="preserve">Weak TLS configuration</t>
  </si>
  <si>
    <t xml:space="preserve">Missing Diagnostics &amp; Audit Logging</t>
  </si>
  <si>
    <t xml:space="preserve">Plaintext credential</t>
  </si>
  <si>
    <t xml:space="preserve">Multi-File, Contect Dependent Security Weakness</t>
  </si>
  <si>
    <t xml:space="preserve">Legitamte Public HTTPS Service</t>
  </si>
  <si>
    <t xml:space="preserve">Unchanged copy of AB's draft (Results_Matrix_Draft.xlsx) for traceability. Superseded by 'Verified Matrix'.</t>
  </si>
</sst>
</file>

<file path=xl/styles.xml><?xml version="1.0" encoding="utf-8"?>
<styleSheet xmlns="http://schemas.openxmlformats.org/spreadsheetml/2006/main">
  <numFmts count="4">
    <numFmt numFmtId="164" formatCode="General"/>
    <numFmt numFmtId="165" formatCode="0%"/>
    <numFmt numFmtId="166" formatCode="General"/>
    <numFmt numFmtId="167" formatCode="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i val="true"/>
      <sz val="11"/>
      <name val="Arial"/>
      <family val="0"/>
      <charset val="1"/>
    </font>
    <font>
      <sz val="11"/>
      <color rgb="FF0000FF"/>
      <name val="Arial"/>
      <family val="0"/>
      <charset val="1"/>
    </font>
    <font>
      <sz val="11"/>
      <color rgb="FF00800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EDEDED"/>
        <bgColor rgb="FFE2EFDA"/>
      </patternFill>
    </fill>
    <fill>
      <patternFill patternType="solid">
        <fgColor rgb="FFFCE4D6"/>
        <bgColor rgb="FFFFF2CC"/>
      </patternFill>
    </fill>
    <fill>
      <patternFill patternType="solid">
        <fgColor rgb="FFFFF2CC"/>
        <bgColor rgb="FFFCE4D6"/>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6" fontId="5" fillId="0" borderId="1" xfId="0" applyFont="true" applyBorder="true" applyAlignment="true" applyProtection="false">
      <alignment horizontal="center"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EDEDED"/>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0"/>
  </cols>
  <sheetData>
    <row r="1" customFormat="false" ht="17.25" hidden="false" customHeight="true" outlineLevel="0" collapsed="false">
      <c r="A1" s="2" t="s">
        <v>0</v>
      </c>
    </row>
    <row r="2" customFormat="false" ht="39" hidden="false" customHeight="true" outlineLevel="0" collapsed="false">
      <c r="A2" s="3" t="s">
        <v>1</v>
      </c>
    </row>
    <row r="3" customFormat="false" ht="15" hidden="false" customHeight="true" outlineLevel="0" collapsed="false">
      <c r="A3" s="3" t="s">
        <v>2</v>
      </c>
    </row>
    <row r="4" customFormat="false" ht="15" hidden="false" customHeight="true" outlineLevel="0" collapsed="false">
      <c r="A4" s="4" t="s">
        <v>3</v>
      </c>
    </row>
    <row r="5" customFormat="false" ht="15" hidden="false" customHeight="true" outlineLevel="0" collapsed="false">
      <c r="A5" s="3" t="s">
        <v>4</v>
      </c>
    </row>
    <row r="6" customFormat="false" ht="26.25" hidden="false" customHeight="true" outlineLevel="0" collapsed="false">
      <c r="A6" s="3" t="s">
        <v>5</v>
      </c>
    </row>
    <row r="7" customFormat="false" ht="26.25" hidden="false" customHeight="true" outlineLevel="0" collapsed="false">
      <c r="A7" s="3" t="s">
        <v>6</v>
      </c>
    </row>
    <row r="8" customFormat="false" ht="15" hidden="false" customHeight="true" outlineLevel="0" collapsed="false">
      <c r="A8" s="3" t="s">
        <v>7</v>
      </c>
    </row>
    <row r="9" customFormat="false" ht="26.25" hidden="false" customHeight="true" outlineLevel="0" collapsed="false">
      <c r="A9" s="3" t="s">
        <v>8</v>
      </c>
    </row>
    <row r="10" customFormat="false" ht="15" hidden="false" customHeight="true" outlineLevel="0" collapsed="false">
      <c r="A10" s="3"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34"/>
    <col collapsed="false" customWidth="true" hidden="false" outlineLevel="0" max="4" min="4" style="1" width="12"/>
    <col collapsed="false" customWidth="true" hidden="false" outlineLevel="0" max="5" min="5" style="1" width="30"/>
    <col collapsed="false" customWidth="true" hidden="false" outlineLevel="0" max="6" min="6" style="1" width="10"/>
    <col collapsed="false" customWidth="true" hidden="false" outlineLevel="0" max="7" min="7" style="1" width="30"/>
    <col collapsed="false" customWidth="true" hidden="false" outlineLevel="0" max="8" min="8" style="1" width="10"/>
    <col collapsed="false" customWidth="true" hidden="false" outlineLevel="0" max="9" min="9" style="1" width="40"/>
    <col collapsed="false" customWidth="true" hidden="false" outlineLevel="0" max="10" min="10" style="1" width="11"/>
    <col collapsed="false" customWidth="true" hidden="false" outlineLevel="0" max="11" min="11" style="1" width="34"/>
    <col collapsed="false" customWidth="true" hidden="false" outlineLevel="0" max="12" min="12" style="1" width="11"/>
    <col collapsed="false" customWidth="true" hidden="false" outlineLevel="0" max="13" min="13" style="1" width="38"/>
    <col collapsed="false" customWidth="true" hidden="false" outlineLevel="0" max="14" min="14" style="1" width="30"/>
    <col collapsed="false" customWidth="true" hidden="false" outlineLevel="0" max="15" min="15" style="1" width="40"/>
  </cols>
  <sheetData>
    <row r="1" customFormat="false" ht="39" hidden="false" customHeight="true" outlineLevel="0" collapsed="false">
      <c r="A1" s="5" t="s">
        <v>10</v>
      </c>
      <c r="B1" s="5" t="s">
        <v>11</v>
      </c>
      <c r="C1" s="5" t="s">
        <v>12</v>
      </c>
      <c r="D1" s="5" t="s">
        <v>13</v>
      </c>
      <c r="E1" s="5" t="s">
        <v>14</v>
      </c>
      <c r="F1" s="5" t="s">
        <v>15</v>
      </c>
      <c r="G1" s="5" t="s">
        <v>16</v>
      </c>
      <c r="H1" s="5" t="s">
        <v>17</v>
      </c>
      <c r="I1" s="5" t="s">
        <v>18</v>
      </c>
      <c r="J1" s="5" t="s">
        <v>19</v>
      </c>
      <c r="K1" s="5" t="s">
        <v>20</v>
      </c>
      <c r="L1" s="5" t="s">
        <v>21</v>
      </c>
      <c r="M1" s="5" t="s">
        <v>22</v>
      </c>
      <c r="N1" s="5" t="s">
        <v>23</v>
      </c>
      <c r="O1" s="5" t="s">
        <v>24</v>
      </c>
    </row>
    <row r="2" customFormat="false" ht="64.5" hidden="false" customHeight="true" outlineLevel="0" collapsed="false">
      <c r="A2" s="6" t="s">
        <v>25</v>
      </c>
      <c r="B2" s="6" t="s">
        <v>26</v>
      </c>
      <c r="C2" s="6" t="s">
        <v>27</v>
      </c>
      <c r="D2" s="6" t="s">
        <v>28</v>
      </c>
      <c r="E2" s="6" t="s">
        <v>29</v>
      </c>
      <c r="F2" s="7" t="s">
        <v>30</v>
      </c>
      <c r="G2" s="6" t="s">
        <v>31</v>
      </c>
      <c r="H2" s="7" t="s">
        <v>30</v>
      </c>
      <c r="I2" s="6" t="s">
        <v>32</v>
      </c>
      <c r="J2" s="7" t="s">
        <v>30</v>
      </c>
      <c r="K2" s="6" t="s">
        <v>33</v>
      </c>
      <c r="L2" s="8" t="s">
        <v>34</v>
      </c>
      <c r="M2" s="6" t="s">
        <v>35</v>
      </c>
      <c r="N2" s="6" t="s">
        <v>36</v>
      </c>
      <c r="O2" s="6" t="s">
        <v>37</v>
      </c>
    </row>
    <row r="3" customFormat="false" ht="39" hidden="false" customHeight="true" outlineLevel="0" collapsed="false">
      <c r="A3" s="6" t="s">
        <v>38</v>
      </c>
      <c r="B3" s="6" t="s">
        <v>39</v>
      </c>
      <c r="C3" s="6" t="s">
        <v>40</v>
      </c>
      <c r="D3" s="6" t="s">
        <v>41</v>
      </c>
      <c r="E3" s="6" t="s">
        <v>42</v>
      </c>
      <c r="F3" s="9" t="s">
        <v>43</v>
      </c>
      <c r="G3" s="6" t="s">
        <v>44</v>
      </c>
      <c r="H3" s="7" t="s">
        <v>45</v>
      </c>
      <c r="I3" s="6" t="s">
        <v>46</v>
      </c>
      <c r="J3" s="7" t="s">
        <v>45</v>
      </c>
      <c r="K3" s="6" t="s">
        <v>47</v>
      </c>
      <c r="L3" s="7" t="s">
        <v>45</v>
      </c>
      <c r="M3" s="6" t="s">
        <v>48</v>
      </c>
      <c r="N3" s="6" t="s">
        <v>49</v>
      </c>
      <c r="O3" s="6" t="s">
        <v>50</v>
      </c>
    </row>
    <row r="4" customFormat="false" ht="39" hidden="false" customHeight="true" outlineLevel="0" collapsed="false">
      <c r="A4" s="6" t="s">
        <v>51</v>
      </c>
      <c r="B4" s="6" t="s">
        <v>52</v>
      </c>
      <c r="C4" s="6" t="s">
        <v>53</v>
      </c>
      <c r="D4" s="6" t="s">
        <v>41</v>
      </c>
      <c r="E4" s="6" t="s">
        <v>54</v>
      </c>
      <c r="F4" s="9" t="s">
        <v>43</v>
      </c>
      <c r="G4" s="6" t="s">
        <v>55</v>
      </c>
      <c r="H4" s="7" t="s">
        <v>45</v>
      </c>
      <c r="I4" s="6" t="s">
        <v>56</v>
      </c>
      <c r="J4" s="7" t="s">
        <v>45</v>
      </c>
      <c r="K4" s="6" t="s">
        <v>57</v>
      </c>
      <c r="L4" s="7" t="s">
        <v>45</v>
      </c>
      <c r="M4" s="6" t="s">
        <v>58</v>
      </c>
      <c r="N4" s="6" t="s">
        <v>59</v>
      </c>
      <c r="O4" s="6" t="s">
        <v>60</v>
      </c>
    </row>
    <row r="5" customFormat="false" ht="51.75" hidden="false" customHeight="true" outlineLevel="0" collapsed="false">
      <c r="A5" s="6" t="s">
        <v>61</v>
      </c>
      <c r="B5" s="6" t="s">
        <v>62</v>
      </c>
      <c r="C5" s="6" t="s">
        <v>63</v>
      </c>
      <c r="D5" s="6" t="s">
        <v>41</v>
      </c>
      <c r="E5" s="6" t="s">
        <v>64</v>
      </c>
      <c r="F5" s="9" t="s">
        <v>43</v>
      </c>
      <c r="G5" s="6" t="s">
        <v>65</v>
      </c>
      <c r="H5" s="7" t="s">
        <v>45</v>
      </c>
      <c r="I5" s="6" t="s">
        <v>66</v>
      </c>
      <c r="J5" s="7" t="s">
        <v>45</v>
      </c>
      <c r="K5" s="6" t="s">
        <v>67</v>
      </c>
      <c r="L5" s="7" t="s">
        <v>45</v>
      </c>
      <c r="M5" s="6" t="s">
        <v>68</v>
      </c>
      <c r="N5" s="6" t="s">
        <v>69</v>
      </c>
      <c r="O5" s="6" t="s">
        <v>70</v>
      </c>
    </row>
    <row r="6" customFormat="false" ht="39" hidden="false" customHeight="true" outlineLevel="0" collapsed="false">
      <c r="A6" s="6" t="s">
        <v>71</v>
      </c>
      <c r="B6" s="6" t="s">
        <v>72</v>
      </c>
      <c r="C6" s="6" t="s">
        <v>73</v>
      </c>
      <c r="D6" s="6" t="s">
        <v>41</v>
      </c>
      <c r="E6" s="6" t="s">
        <v>74</v>
      </c>
      <c r="F6" s="7" t="s">
        <v>45</v>
      </c>
      <c r="G6" s="6" t="s">
        <v>31</v>
      </c>
      <c r="H6" s="9" t="s">
        <v>43</v>
      </c>
      <c r="I6" s="6" t="s">
        <v>75</v>
      </c>
      <c r="J6" s="7" t="s">
        <v>45</v>
      </c>
      <c r="K6" s="6" t="s">
        <v>76</v>
      </c>
      <c r="L6" s="7" t="s">
        <v>45</v>
      </c>
      <c r="M6" s="6" t="s">
        <v>77</v>
      </c>
      <c r="N6" s="6" t="s">
        <v>78</v>
      </c>
      <c r="O6" s="6" t="s">
        <v>79</v>
      </c>
    </row>
    <row r="7" customFormat="false" ht="39" hidden="false" customHeight="true" outlineLevel="0" collapsed="false">
      <c r="A7" s="6" t="s">
        <v>80</v>
      </c>
      <c r="B7" s="6" t="s">
        <v>81</v>
      </c>
      <c r="C7" s="6" t="s">
        <v>82</v>
      </c>
      <c r="D7" s="6" t="s">
        <v>41</v>
      </c>
      <c r="E7" s="6" t="s">
        <v>83</v>
      </c>
      <c r="F7" s="7" t="s">
        <v>45</v>
      </c>
      <c r="G7" s="6" t="s">
        <v>31</v>
      </c>
      <c r="H7" s="9" t="s">
        <v>43</v>
      </c>
      <c r="I7" s="6" t="s">
        <v>84</v>
      </c>
      <c r="J7" s="7" t="s">
        <v>45</v>
      </c>
      <c r="K7" s="6" t="s">
        <v>85</v>
      </c>
      <c r="L7" s="7" t="s">
        <v>45</v>
      </c>
      <c r="M7" s="6" t="s">
        <v>86</v>
      </c>
      <c r="N7" s="6" t="s">
        <v>87</v>
      </c>
      <c r="O7" s="6" t="s">
        <v>88</v>
      </c>
    </row>
    <row r="8" customFormat="false" ht="51.75" hidden="false" customHeight="true" outlineLevel="0" collapsed="false">
      <c r="A8" s="6" t="s">
        <v>89</v>
      </c>
      <c r="B8" s="6" t="s">
        <v>90</v>
      </c>
      <c r="C8" s="6" t="s">
        <v>91</v>
      </c>
      <c r="D8" s="6" t="s">
        <v>41</v>
      </c>
      <c r="E8" s="6" t="s">
        <v>92</v>
      </c>
      <c r="F8" s="7" t="s">
        <v>45</v>
      </c>
      <c r="G8" s="6" t="s">
        <v>93</v>
      </c>
      <c r="H8" s="7" t="s">
        <v>45</v>
      </c>
      <c r="I8" s="6" t="s">
        <v>94</v>
      </c>
      <c r="J8" s="7" t="s">
        <v>45</v>
      </c>
      <c r="K8" s="6" t="s">
        <v>95</v>
      </c>
      <c r="L8" s="7" t="s">
        <v>45</v>
      </c>
      <c r="M8" s="6" t="s">
        <v>96</v>
      </c>
      <c r="N8" s="6" t="s">
        <v>97</v>
      </c>
      <c r="O8" s="6" t="s">
        <v>98</v>
      </c>
    </row>
    <row r="9" customFormat="false" ht="51.75" hidden="false" customHeight="true" outlineLevel="0" collapsed="false">
      <c r="A9" s="6" t="s">
        <v>99</v>
      </c>
      <c r="B9" s="6" t="s">
        <v>100</v>
      </c>
      <c r="C9" s="6" t="s">
        <v>101</v>
      </c>
      <c r="D9" s="6" t="s">
        <v>41</v>
      </c>
      <c r="E9" s="6" t="s">
        <v>102</v>
      </c>
      <c r="F9" s="9" t="s">
        <v>43</v>
      </c>
      <c r="G9" s="6" t="s">
        <v>31</v>
      </c>
      <c r="H9" s="9" t="s">
        <v>43</v>
      </c>
      <c r="I9" s="6" t="s">
        <v>103</v>
      </c>
      <c r="J9" s="10" t="s">
        <v>104</v>
      </c>
      <c r="K9" s="6" t="s">
        <v>105</v>
      </c>
      <c r="L9" s="7" t="s">
        <v>45</v>
      </c>
      <c r="M9" s="6" t="s">
        <v>68</v>
      </c>
      <c r="N9" s="6" t="s">
        <v>106</v>
      </c>
      <c r="O9" s="6" t="s">
        <v>107</v>
      </c>
    </row>
    <row r="10" customFormat="false" ht="51.75" hidden="false" customHeight="true" outlineLevel="0" collapsed="false">
      <c r="A10" s="6" t="s">
        <v>108</v>
      </c>
      <c r="B10" s="6" t="s">
        <v>109</v>
      </c>
      <c r="C10" s="6" t="s">
        <v>110</v>
      </c>
      <c r="D10" s="6" t="s">
        <v>41</v>
      </c>
      <c r="E10" s="6" t="s">
        <v>111</v>
      </c>
      <c r="F10" s="9" t="s">
        <v>43</v>
      </c>
      <c r="G10" s="6" t="s">
        <v>31</v>
      </c>
      <c r="H10" s="9" t="s">
        <v>43</v>
      </c>
      <c r="I10" s="6" t="s">
        <v>112</v>
      </c>
      <c r="J10" s="7" t="s">
        <v>45</v>
      </c>
      <c r="K10" s="6" t="s">
        <v>113</v>
      </c>
      <c r="L10" s="7" t="s">
        <v>45</v>
      </c>
      <c r="M10" s="6" t="s">
        <v>68</v>
      </c>
      <c r="N10" s="6" t="s">
        <v>114</v>
      </c>
      <c r="O10" s="6" t="s">
        <v>115</v>
      </c>
    </row>
    <row r="11" customFormat="false" ht="39" hidden="false" customHeight="true" outlineLevel="0" collapsed="false">
      <c r="A11" s="6" t="s">
        <v>116</v>
      </c>
      <c r="B11" s="6" t="s">
        <v>117</v>
      </c>
      <c r="C11" s="6" t="s">
        <v>118</v>
      </c>
      <c r="D11" s="6" t="s">
        <v>41</v>
      </c>
      <c r="E11" s="6" t="s">
        <v>119</v>
      </c>
      <c r="F11" s="7" t="s">
        <v>45</v>
      </c>
      <c r="G11" s="6" t="s">
        <v>31</v>
      </c>
      <c r="H11" s="9" t="s">
        <v>43</v>
      </c>
      <c r="I11" s="6" t="s">
        <v>120</v>
      </c>
      <c r="J11" s="7" t="s">
        <v>45</v>
      </c>
      <c r="K11" s="6" t="s">
        <v>121</v>
      </c>
      <c r="L11" s="7" t="s">
        <v>45</v>
      </c>
      <c r="M11" s="6" t="s">
        <v>122</v>
      </c>
      <c r="N11" s="6" t="s">
        <v>123</v>
      </c>
      <c r="O11" s="6" t="s">
        <v>124</v>
      </c>
    </row>
    <row r="12" customFormat="false" ht="64.5" hidden="false" customHeight="true" outlineLevel="0" collapsed="false">
      <c r="A12" s="6" t="s">
        <v>125</v>
      </c>
      <c r="B12" s="6" t="s">
        <v>126</v>
      </c>
      <c r="C12" s="6" t="s">
        <v>127</v>
      </c>
      <c r="D12" s="6" t="s">
        <v>41</v>
      </c>
      <c r="E12" s="6" t="s">
        <v>119</v>
      </c>
      <c r="F12" s="7" t="s">
        <v>45</v>
      </c>
      <c r="G12" s="6" t="s">
        <v>31</v>
      </c>
      <c r="H12" s="9" t="s">
        <v>43</v>
      </c>
      <c r="I12" s="6" t="s">
        <v>128</v>
      </c>
      <c r="J12" s="7" t="s">
        <v>45</v>
      </c>
      <c r="K12" s="6" t="s">
        <v>129</v>
      </c>
      <c r="L12" s="7" t="s">
        <v>45</v>
      </c>
      <c r="M12" s="6" t="s">
        <v>68</v>
      </c>
      <c r="N12" s="6" t="s">
        <v>130</v>
      </c>
      <c r="O12" s="6" t="s">
        <v>131</v>
      </c>
    </row>
    <row r="13" customFormat="false" ht="64.5" hidden="false" customHeight="true" outlineLevel="0" collapsed="false">
      <c r="A13" s="6" t="s">
        <v>132</v>
      </c>
      <c r="B13" s="6" t="s">
        <v>133</v>
      </c>
      <c r="C13" s="6" t="s">
        <v>134</v>
      </c>
      <c r="D13" s="6" t="s">
        <v>135</v>
      </c>
      <c r="E13" s="6" t="s">
        <v>136</v>
      </c>
      <c r="F13" s="7" t="s">
        <v>30</v>
      </c>
      <c r="G13" s="6" t="s">
        <v>137</v>
      </c>
      <c r="H13" s="10" t="s">
        <v>138</v>
      </c>
      <c r="I13" s="6" t="s">
        <v>139</v>
      </c>
      <c r="J13" s="10" t="s">
        <v>138</v>
      </c>
      <c r="K13" s="6" t="s">
        <v>140</v>
      </c>
      <c r="L13" s="10" t="s">
        <v>138</v>
      </c>
      <c r="M13" s="6" t="s">
        <v>141</v>
      </c>
      <c r="N13" s="6" t="s">
        <v>142</v>
      </c>
      <c r="O13" s="6" t="s">
        <v>143</v>
      </c>
    </row>
  </sheetData>
  <autoFilter ref="A1:O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3" min="2" style="1" width="12"/>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17.25" hidden="false" customHeight="true" outlineLevel="0" collapsed="false">
      <c r="A1" s="11" t="s">
        <v>144</v>
      </c>
    </row>
    <row r="3" customFormat="false" ht="26.25" hidden="false" customHeight="true" outlineLevel="0" collapsed="false">
      <c r="A3" s="5" t="s">
        <v>145</v>
      </c>
      <c r="B3" s="5" t="s">
        <v>146</v>
      </c>
      <c r="C3" s="5" t="s">
        <v>147</v>
      </c>
      <c r="D3" s="5" t="s">
        <v>148</v>
      </c>
      <c r="E3" s="5" t="s">
        <v>149</v>
      </c>
      <c r="F3" s="5" t="s">
        <v>150</v>
      </c>
    </row>
    <row r="4" customFormat="false" ht="15" hidden="false" customHeight="true" outlineLevel="0" collapsed="false">
      <c r="A4" s="6" t="s">
        <v>151</v>
      </c>
      <c r="B4" s="6" t="n">
        <f aca="false">COUNTIF('Verified Matrix'!$D$2:$D$13,"Vulnerable")</f>
        <v>10</v>
      </c>
      <c r="C4" s="6" t="n">
        <f aca="false">COUNTIF('Verified Matrix'!$D$2:$D$13,"Vulnerable")</f>
        <v>10</v>
      </c>
      <c r="D4" s="6" t="n">
        <f aca="false">COUNTIF('Verified Matrix'!$D$2:$D$13,"Vulnerable")</f>
        <v>10</v>
      </c>
      <c r="E4" s="6" t="n">
        <f aca="false">COUNTIF('Verified Matrix'!$D$2:$D$13,"Vulnerable")</f>
        <v>10</v>
      </c>
      <c r="F4" s="6" t="s">
        <v>152</v>
      </c>
    </row>
    <row r="5" customFormat="false" ht="15" hidden="false" customHeight="true" outlineLevel="0" collapsed="false">
      <c r="A5" s="6" t="s">
        <v>153</v>
      </c>
      <c r="B5" s="6" t="n">
        <f aca="false">COUNTIFS('Verified Matrix'!$D$2:$D$13,"Vulnerable",'Verified Matrix'!$F$2:$F$13,"TP")</f>
        <v>5</v>
      </c>
      <c r="C5" s="6" t="n">
        <f aca="false">COUNTIFS('Verified Matrix'!$D$2:$D$13,"Vulnerable",'Verified Matrix'!$H$2:$H$13,"TP")</f>
        <v>4</v>
      </c>
      <c r="D5" s="6" t="n">
        <f aca="false">COUNTIFS('Verified Matrix'!$D$2:$D$13,"Vulnerable",'Verified Matrix'!$J$2:$J$13,"TP")</f>
        <v>9</v>
      </c>
      <c r="E5" s="6" t="n">
        <f aca="false">COUNTIFS('Verified Matrix'!$D$2:$D$13,"Vulnerable",'Verified Matrix'!$L$2:$L$13,"TP")</f>
        <v>10</v>
      </c>
      <c r="F5" s="6" t="s">
        <v>154</v>
      </c>
    </row>
    <row r="6" customFormat="false" ht="15" hidden="false" customHeight="true" outlineLevel="0" collapsed="false">
      <c r="A6" s="6" t="s">
        <v>155</v>
      </c>
      <c r="B6" s="6" t="n">
        <f aca="false">COUNTIFS('Verified Matrix'!$D$2:$D$13,"Vulnerable",'Verified Matrix'!$F$2:$F$13,"FN")</f>
        <v>5</v>
      </c>
      <c r="C6" s="6" t="n">
        <f aca="false">COUNTIFS('Verified Matrix'!$D$2:$D$13,"Vulnerable",'Verified Matrix'!$H$2:$H$13,"FN")</f>
        <v>6</v>
      </c>
      <c r="D6" s="6" t="n">
        <f aca="false">COUNTIFS('Verified Matrix'!$D$2:$D$13,"Vulnerable",'Verified Matrix'!$J$2:$J$13,"FN")</f>
        <v>0</v>
      </c>
      <c r="E6" s="6" t="n">
        <f aca="false">COUNTIFS('Verified Matrix'!$D$2:$D$13,"Vulnerable",'Verified Matrix'!$L$2:$L$13,"FN")</f>
        <v>0</v>
      </c>
      <c r="F6" s="6"/>
    </row>
    <row r="7" customFormat="false" ht="15" hidden="false" customHeight="true" outlineLevel="0" collapsed="false">
      <c r="A7" s="6" t="s">
        <v>156</v>
      </c>
      <c r="B7" s="6" t="n">
        <f aca="false">COUNTIFS('Verified Matrix'!$D$2:$D$13,"Vulnerable",'Verified Matrix'!$F$2:$F$13,"PARTIAL")</f>
        <v>0</v>
      </c>
      <c r="C7" s="6" t="n">
        <f aca="false">COUNTIFS('Verified Matrix'!$D$2:$D$13,"Vulnerable",'Verified Matrix'!$H$2:$H$13,"PARTIAL")</f>
        <v>0</v>
      </c>
      <c r="D7" s="6" t="n">
        <f aca="false">COUNTIFS('Verified Matrix'!$D$2:$D$13,"Vulnerable",'Verified Matrix'!$J$2:$J$13,"PARTIAL")</f>
        <v>1</v>
      </c>
      <c r="E7" s="6" t="n">
        <f aca="false">COUNTIFS('Verified Matrix'!$D$2:$D$13,"Vulnerable",'Verified Matrix'!$L$2:$L$13,"PARTIAL")</f>
        <v>0</v>
      </c>
      <c r="F7" s="6" t="s">
        <v>157</v>
      </c>
    </row>
    <row r="8" customFormat="false" ht="26.25" hidden="false" customHeight="true" outlineLevel="0" collapsed="false">
      <c r="A8" s="6" t="s">
        <v>158</v>
      </c>
      <c r="B8" s="12" t="n">
        <f aca="false">IFERROR(B5/B4,0)</f>
        <v>0.5</v>
      </c>
      <c r="C8" s="12" t="n">
        <f aca="false">IFERROR(C5/C4,0)</f>
        <v>0.4</v>
      </c>
      <c r="D8" s="12" t="n">
        <f aca="false">IFERROR(D5/D4,0)</f>
        <v>0.9</v>
      </c>
      <c r="E8" s="12" t="n">
        <f aca="false">IFERROR(E5/E4,0)</f>
        <v>1</v>
      </c>
      <c r="F8" s="6" t="s">
        <v>159</v>
      </c>
    </row>
    <row r="9" customFormat="false" ht="15" hidden="false" customHeight="true" outlineLevel="0" collapsed="false">
      <c r="A9" s="6" t="s">
        <v>160</v>
      </c>
      <c r="B9" s="6" t="n">
        <f aca="false">COUNTIFS('Verified Matrix'!$D$2:$D$13,"Secure",'Verified Matrix'!$F$2:$F$13,"TN")</f>
        <v>1</v>
      </c>
      <c r="C9" s="6" t="n">
        <f aca="false">COUNTIFS('Verified Matrix'!$D$2:$D$13,"Secure",'Verified Matrix'!$H$2:$H$13,"TN")</f>
        <v>1</v>
      </c>
      <c r="D9" s="6" t="n">
        <f aca="false">COUNTIFS('Verified Matrix'!$D$2:$D$13,"Secure",'Verified Matrix'!$J$2:$J$13,"TN")</f>
        <v>1</v>
      </c>
      <c r="E9" s="6" t="n">
        <f aca="false">COUNTIFS('Verified Matrix'!$D$2:$D$13,"Secure",'Verified Matrix'!$L$2:$L$13,"TN")</f>
        <v>0</v>
      </c>
      <c r="F9" s="6" t="s">
        <v>161</v>
      </c>
    </row>
    <row r="10" customFormat="false" ht="15" hidden="false" customHeight="true" outlineLevel="0" collapsed="false">
      <c r="A10" s="6" t="s">
        <v>162</v>
      </c>
      <c r="B10" s="6" t="n">
        <f aca="false">COUNTIFS('Verified Matrix'!$D$2:$D$13,"Secure",'Verified Matrix'!$F$2:$F$13,"UNVERIFIED")</f>
        <v>0</v>
      </c>
      <c r="C10" s="6" t="n">
        <f aca="false">COUNTIFS('Verified Matrix'!$D$2:$D$13,"Secure",'Verified Matrix'!$H$2:$H$13,"UNVERIFIED")</f>
        <v>0</v>
      </c>
      <c r="D10" s="6" t="n">
        <f aca="false">COUNTIFS('Verified Matrix'!$D$2:$D$13,"Secure",'Verified Matrix'!$J$2:$J$13,"UNVERIFIED")</f>
        <v>0</v>
      </c>
      <c r="E10" s="6" t="n">
        <f aca="false">COUNTIFS('Verified Matrix'!$D$2:$D$13,"Secure",'Verified Matrix'!$L$2:$L$13,"UNVERIFIED")</f>
        <v>1</v>
      </c>
      <c r="F10" s="6" t="s">
        <v>163</v>
      </c>
    </row>
    <row r="11" customFormat="false" ht="15" hidden="false" customHeight="true" outlineLevel="0" collapsed="false">
      <c r="A11" s="6" t="s">
        <v>164</v>
      </c>
      <c r="B11" s="6" t="n">
        <f aca="false">COUNTIFS('Verified Matrix'!$D$2:$D$13,"Legitimate",'Verified Matrix'!$F$2:$F$13,"TN")</f>
        <v>1</v>
      </c>
      <c r="C11" s="6" t="n">
        <f aca="false">COUNTIFS('Verified Matrix'!$D$2:$D$13,"Legitimate",'Verified Matrix'!$H$2:$H$13,"TN")</f>
        <v>0</v>
      </c>
      <c r="D11" s="6" t="n">
        <f aca="false">COUNTIFS('Verified Matrix'!$D$2:$D$13,"Legitimate",'Verified Matrix'!$J$2:$J$13,"TN")</f>
        <v>0</v>
      </c>
      <c r="E11" s="6" t="n">
        <f aca="false">COUNTIFS('Verified Matrix'!$D$2:$D$13,"Legitimate",'Verified Matrix'!$L$2:$L$13,"TN")</f>
        <v>0</v>
      </c>
      <c r="F11" s="6" t="s">
        <v>161</v>
      </c>
    </row>
    <row r="12" customFormat="false" ht="26.25" hidden="false" customHeight="true" outlineLevel="0" collapsed="false">
      <c r="A12" s="6" t="s">
        <v>165</v>
      </c>
      <c r="B12" s="6" t="n">
        <f aca="false">COUNTIFS('Verified Matrix'!$D$2:$D$13,"Legitimate",'Verified Matrix'!$F$2:$F$13,"CONTEXT")</f>
        <v>0</v>
      </c>
      <c r="C12" s="6" t="n">
        <f aca="false">COUNTIFS('Verified Matrix'!$D$2:$D$13,"Legitimate",'Verified Matrix'!$H$2:$H$13,"CONTEXT")</f>
        <v>1</v>
      </c>
      <c r="D12" s="6" t="n">
        <f aca="false">COUNTIFS('Verified Matrix'!$D$2:$D$13,"Legitimate",'Verified Matrix'!$J$2:$J$13,"CONTEXT")</f>
        <v>1</v>
      </c>
      <c r="E12" s="6" t="n">
        <f aca="false">COUNTIFS('Verified Matrix'!$D$2:$D$13,"Legitimate",'Verified Matrix'!$L$2:$L$13,"CONTEXT")</f>
        <v>1</v>
      </c>
      <c r="F12" s="6" t="s">
        <v>166</v>
      </c>
    </row>
    <row r="15" customFormat="false" ht="15" hidden="false" customHeight="true" outlineLevel="0" collapsed="false">
      <c r="A15" s="13" t="s">
        <v>167</v>
      </c>
    </row>
    <row r="16" customFormat="false" ht="15" hidden="false" customHeight="true" outlineLevel="0" collapsed="false">
      <c r="A16" s="6" t="s">
        <v>168</v>
      </c>
      <c r="B16" s="6" t="n">
        <f aca="false">SUMPRODUCT(('Verified Matrix'!$D$2:$D$13="Vulnerable")*((('Verified Matrix'!$F$2:$F$13="TP")+('Verified Matrix'!$H$2:$H$13="TP"))&gt;0))</f>
        <v>8</v>
      </c>
      <c r="C16" s="6"/>
      <c r="D16" s="6"/>
      <c r="E16" s="6"/>
      <c r="F16" s="6" t="s">
        <v>169</v>
      </c>
    </row>
    <row r="17" customFormat="false" ht="26.25" hidden="false" customHeight="true" outlineLevel="0" collapsed="false">
      <c r="A17" s="6" t="s">
        <v>170</v>
      </c>
      <c r="B17" s="6" t="n">
        <f aca="false">SUMPRODUCT(('Verified Matrix'!$D$2:$D$13="Vulnerable")*('Verified Matrix'!$J$2:$J$13="TP")*('Verified Matrix'!$F$2:$F$13&lt;&gt;"TP")*('Verified Matrix'!$H$2:$H$13&lt;&gt;"TP"))</f>
        <v>1</v>
      </c>
      <c r="C17" s="6"/>
      <c r="D17" s="6"/>
      <c r="E17" s="6"/>
      <c r="F17" s="6" t="s">
        <v>171</v>
      </c>
    </row>
    <row r="18" customFormat="false" ht="26.25" hidden="false" customHeight="true" outlineLevel="0" collapsed="false">
      <c r="A18" s="6" t="s">
        <v>172</v>
      </c>
      <c r="B18" s="6" t="n">
        <f aca="false">SUMPRODUCT(('Verified Matrix'!$D$2:$D$13="Vulnerable")*(((('Verified Matrix'!$F$2:$F$13="TP")+('Verified Matrix'!$H$2:$H$13="TP"))&gt;0))*('Verified Matrix'!$J$2:$J$13&lt;&gt;"TP"))</f>
        <v>0</v>
      </c>
      <c r="C18" s="6"/>
      <c r="D18" s="6"/>
      <c r="E18" s="6"/>
      <c r="F18" s="6" t="s">
        <v>173</v>
      </c>
    </row>
    <row r="19" customFormat="false" ht="15" hidden="false" customHeight="true" outlineLevel="0" collapsed="false">
      <c r="A19" s="6" t="s">
        <v>174</v>
      </c>
      <c r="B19" s="6" t="n">
        <f aca="false">SUMPRODUCT(('Verified Matrix'!$D$2:$D$13="Vulnerable")*('Verified Matrix'!$F$2:$F$13&lt;&gt;"TP")*('Verified Matrix'!$H$2:$H$13&lt;&gt;"TP")*('Verified Matrix'!$J$2:$J$13&lt;&gt;"TP")*('Verified Matrix'!$J$2:$J$13&lt;&gt;"PARTIAL"))</f>
        <v>0</v>
      </c>
      <c r="C19" s="6"/>
      <c r="D19" s="6"/>
      <c r="E19" s="6"/>
      <c r="F19" s="6"/>
    </row>
    <row r="21" customFormat="false" ht="15" hidden="false" customHeight="true" outlineLevel="0" collapsed="false">
      <c r="A21" s="14" t="s">
        <v>175</v>
      </c>
      <c r="B21" s="14"/>
      <c r="C21" s="14"/>
      <c r="D21" s="14"/>
      <c r="E21" s="14"/>
      <c r="F21" s="14"/>
    </row>
    <row r="22" customFormat="false" ht="15" hidden="false" customHeight="true" outlineLevel="0" collapsed="false">
      <c r="A22" s="14"/>
      <c r="B22" s="14"/>
      <c r="C22" s="14"/>
      <c r="D22" s="14"/>
      <c r="E22" s="14"/>
      <c r="F22" s="14"/>
    </row>
  </sheetData>
  <mergeCells count="1">
    <mergeCell ref="A21: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
    <col collapsed="false" customWidth="true" hidden="false" outlineLevel="0" max="3" min="3" style="1" width="14"/>
    <col collapsed="false" customWidth="true" hidden="false" outlineLevel="0" max="4" min="4" style="1" width="16"/>
    <col collapsed="false" customWidth="true" hidden="false" outlineLevel="0" max="5" min="5" style="1" width="20"/>
    <col collapsed="false" customWidth="true" hidden="false" outlineLevel="0" max="6" min="6" style="1" width="9"/>
    <col collapsed="false" customWidth="true" hidden="false" outlineLevel="0" max="8" min="7" style="1" width="13"/>
    <col collapsed="false" customWidth="true" hidden="false" outlineLevel="0" max="9" min="9" style="1" width="14"/>
    <col collapsed="false" customWidth="true" hidden="false" outlineLevel="0" max="11" min="10" style="1" width="55"/>
    <col collapsed="false" customWidth="true" hidden="false" outlineLevel="0" max="12" min="12" style="1" width="9"/>
    <col collapsed="false" customWidth="true" hidden="false" outlineLevel="0" max="13" min="13" style="1" width="22"/>
  </cols>
  <sheetData>
    <row r="1" customFormat="false" ht="51.75" hidden="false" customHeight="true" outlineLevel="0" collapsed="false">
      <c r="A1" s="5" t="s">
        <v>10</v>
      </c>
      <c r="B1" s="5" t="s">
        <v>176</v>
      </c>
      <c r="C1" s="5" t="s">
        <v>177</v>
      </c>
      <c r="D1" s="5" t="s">
        <v>178</v>
      </c>
      <c r="E1" s="5" t="s">
        <v>179</v>
      </c>
      <c r="F1" s="5" t="s">
        <v>180</v>
      </c>
      <c r="G1" s="5" t="s">
        <v>181</v>
      </c>
      <c r="H1" s="5" t="s">
        <v>182</v>
      </c>
      <c r="I1" s="5" t="s">
        <v>183</v>
      </c>
      <c r="J1" s="5" t="s">
        <v>184</v>
      </c>
      <c r="K1" s="5" t="s">
        <v>185</v>
      </c>
      <c r="L1" s="5" t="s">
        <v>186</v>
      </c>
      <c r="M1" s="5" t="s">
        <v>187</v>
      </c>
    </row>
    <row r="2" customFormat="false" ht="39" hidden="false" customHeight="true" outlineLevel="0" collapsed="false">
      <c r="A2" s="6" t="s">
        <v>25</v>
      </c>
      <c r="B2" s="6" t="n">
        <v>70</v>
      </c>
      <c r="C2" s="6" t="n">
        <v>38404582550</v>
      </c>
      <c r="D2" s="6" t="s">
        <v>188</v>
      </c>
      <c r="E2" s="6" t="s">
        <v>189</v>
      </c>
      <c r="F2" s="6" t="s">
        <v>190</v>
      </c>
      <c r="G2" s="6" t="s">
        <v>191</v>
      </c>
      <c r="H2" s="6" t="s">
        <v>192</v>
      </c>
      <c r="I2" s="6" t="s">
        <v>193</v>
      </c>
      <c r="J2" s="6" t="s">
        <v>194</v>
      </c>
      <c r="K2" s="6" t="s">
        <v>195</v>
      </c>
      <c r="L2" s="6" t="n">
        <v>100</v>
      </c>
      <c r="M2" s="6" t="s">
        <v>196</v>
      </c>
    </row>
    <row r="3" customFormat="false" ht="26.25" hidden="false" customHeight="true" outlineLevel="0" collapsed="false">
      <c r="A3" s="6" t="s">
        <v>25</v>
      </c>
      <c r="B3" s="6" t="n">
        <v>70</v>
      </c>
      <c r="C3" s="6" t="n">
        <v>38405003190</v>
      </c>
      <c r="D3" s="6" t="s">
        <v>197</v>
      </c>
      <c r="E3" s="6" t="s">
        <v>198</v>
      </c>
      <c r="F3" s="6" t="s">
        <v>190</v>
      </c>
      <c r="G3" s="6" t="s">
        <v>191</v>
      </c>
      <c r="H3" s="6" t="s">
        <v>192</v>
      </c>
      <c r="I3" s="6" t="s">
        <v>193</v>
      </c>
      <c r="J3" s="6" t="s">
        <v>194</v>
      </c>
      <c r="K3" s="6" t="s">
        <v>194</v>
      </c>
      <c r="L3" s="6" t="n">
        <v>100</v>
      </c>
      <c r="M3" s="6" t="s">
        <v>196</v>
      </c>
    </row>
    <row r="4" customFormat="false" ht="77.25" hidden="false" customHeight="true" outlineLevel="0" collapsed="false">
      <c r="A4" s="6" t="s">
        <v>25</v>
      </c>
      <c r="B4" s="6" t="n">
        <v>70</v>
      </c>
      <c r="C4" s="6" t="n">
        <v>38405111880</v>
      </c>
      <c r="D4" s="6" t="s">
        <v>197</v>
      </c>
      <c r="E4" s="6" t="s">
        <v>199</v>
      </c>
      <c r="F4" s="6" t="s">
        <v>190</v>
      </c>
      <c r="G4" s="6" t="s">
        <v>191</v>
      </c>
      <c r="H4" s="6" t="s">
        <v>192</v>
      </c>
      <c r="I4" s="6" t="s">
        <v>193</v>
      </c>
      <c r="J4" s="6" t="s">
        <v>194</v>
      </c>
      <c r="K4" s="6" t="s">
        <v>200</v>
      </c>
      <c r="L4" s="6" t="n">
        <v>100</v>
      </c>
      <c r="M4" s="6" t="s">
        <v>196</v>
      </c>
    </row>
    <row r="5" customFormat="false" ht="26.25" hidden="false" customHeight="true" outlineLevel="0" collapsed="false">
      <c r="A5" s="6" t="s">
        <v>38</v>
      </c>
      <c r="B5" s="6" t="n">
        <v>71</v>
      </c>
      <c r="C5" s="6" t="n">
        <v>38404584887</v>
      </c>
      <c r="D5" s="6" t="s">
        <v>188</v>
      </c>
      <c r="E5" s="6" t="s">
        <v>189</v>
      </c>
      <c r="F5" s="6" t="s">
        <v>201</v>
      </c>
      <c r="G5" s="6" t="s">
        <v>191</v>
      </c>
      <c r="H5" s="6" t="s">
        <v>192</v>
      </c>
      <c r="I5" s="6" t="s">
        <v>193</v>
      </c>
      <c r="J5" s="6" t="s">
        <v>202</v>
      </c>
      <c r="K5" s="6" t="s">
        <v>194</v>
      </c>
      <c r="L5" s="6" t="n">
        <v>70</v>
      </c>
      <c r="M5" s="6" t="s">
        <v>203</v>
      </c>
    </row>
    <row r="6" customFormat="false" ht="26.25" hidden="false" customHeight="true" outlineLevel="0" collapsed="false">
      <c r="A6" s="6" t="s">
        <v>38</v>
      </c>
      <c r="B6" s="6" t="n">
        <v>71</v>
      </c>
      <c r="C6" s="6" t="n">
        <v>38405012851</v>
      </c>
      <c r="D6" s="6" t="s">
        <v>197</v>
      </c>
      <c r="E6" s="6" t="s">
        <v>204</v>
      </c>
      <c r="F6" s="6" t="s">
        <v>201</v>
      </c>
      <c r="G6" s="6" t="s">
        <v>191</v>
      </c>
      <c r="H6" s="6" t="s">
        <v>192</v>
      </c>
      <c r="I6" s="6" t="s">
        <v>193</v>
      </c>
      <c r="J6" s="6" t="s">
        <v>205</v>
      </c>
      <c r="K6" s="6" t="s">
        <v>194</v>
      </c>
      <c r="L6" s="6" t="n">
        <v>70</v>
      </c>
      <c r="M6" s="6" t="s">
        <v>203</v>
      </c>
    </row>
    <row r="7" customFormat="false" ht="26.25" hidden="false" customHeight="true" outlineLevel="0" collapsed="false">
      <c r="A7" s="6" t="s">
        <v>38</v>
      </c>
      <c r="B7" s="6" t="n">
        <v>71</v>
      </c>
      <c r="C7" s="6" t="n">
        <v>38405121064</v>
      </c>
      <c r="D7" s="6" t="s">
        <v>197</v>
      </c>
      <c r="E7" s="6" t="s">
        <v>206</v>
      </c>
      <c r="F7" s="6" t="s">
        <v>201</v>
      </c>
      <c r="G7" s="6" t="s">
        <v>191</v>
      </c>
      <c r="H7" s="6" t="s">
        <v>192</v>
      </c>
      <c r="I7" s="6" t="s">
        <v>193</v>
      </c>
      <c r="J7" s="6" t="s">
        <v>207</v>
      </c>
      <c r="K7" s="6" t="s">
        <v>194</v>
      </c>
      <c r="L7" s="6" t="n">
        <v>70</v>
      </c>
      <c r="M7" s="6" t="s">
        <v>203</v>
      </c>
    </row>
    <row r="8" customFormat="false" ht="26.25" hidden="false" customHeight="true" outlineLevel="0" collapsed="false">
      <c r="A8" s="6" t="s">
        <v>51</v>
      </c>
      <c r="B8" s="6" t="n">
        <v>72</v>
      </c>
      <c r="C8" s="6" t="n">
        <v>38404589228</v>
      </c>
      <c r="D8" s="6" t="s">
        <v>188</v>
      </c>
      <c r="E8" s="6" t="s">
        <v>208</v>
      </c>
      <c r="F8" s="6" t="s">
        <v>209</v>
      </c>
      <c r="G8" s="6" t="s">
        <v>191</v>
      </c>
      <c r="H8" s="6" t="s">
        <v>192</v>
      </c>
      <c r="I8" s="6" t="s">
        <v>193</v>
      </c>
      <c r="J8" s="6" t="s">
        <v>210</v>
      </c>
      <c r="K8" s="6" t="s">
        <v>194</v>
      </c>
      <c r="L8" s="6" t="n">
        <v>70</v>
      </c>
      <c r="M8" s="6" t="s">
        <v>203</v>
      </c>
    </row>
    <row r="9" customFormat="false" ht="26.25" hidden="false" customHeight="true" outlineLevel="0" collapsed="false">
      <c r="A9" s="6" t="s">
        <v>51</v>
      </c>
      <c r="B9" s="6" t="n">
        <v>72</v>
      </c>
      <c r="C9" s="6" t="n">
        <v>38405022162</v>
      </c>
      <c r="D9" s="6" t="s">
        <v>197</v>
      </c>
      <c r="E9" s="6" t="s">
        <v>211</v>
      </c>
      <c r="F9" s="6" t="s">
        <v>209</v>
      </c>
      <c r="G9" s="6" t="s">
        <v>191</v>
      </c>
      <c r="H9" s="6" t="s">
        <v>192</v>
      </c>
      <c r="I9" s="6" t="s">
        <v>193</v>
      </c>
      <c r="J9" s="6" t="s">
        <v>212</v>
      </c>
      <c r="K9" s="6" t="s">
        <v>194</v>
      </c>
      <c r="L9" s="6" t="n">
        <v>70</v>
      </c>
      <c r="M9" s="6" t="s">
        <v>203</v>
      </c>
    </row>
    <row r="10" customFormat="false" ht="77.25" hidden="false" customHeight="true" outlineLevel="0" collapsed="false">
      <c r="A10" s="6" t="s">
        <v>51</v>
      </c>
      <c r="B10" s="6" t="n">
        <v>72</v>
      </c>
      <c r="C10" s="6" t="n">
        <v>38405130215</v>
      </c>
      <c r="D10" s="6" t="s">
        <v>197</v>
      </c>
      <c r="E10" s="6" t="s">
        <v>213</v>
      </c>
      <c r="F10" s="6" t="s">
        <v>209</v>
      </c>
      <c r="G10" s="6" t="s">
        <v>191</v>
      </c>
      <c r="H10" s="6" t="s">
        <v>192</v>
      </c>
      <c r="I10" s="6" t="s">
        <v>193</v>
      </c>
      <c r="J10" s="6" t="s">
        <v>214</v>
      </c>
      <c r="K10" s="6" t="s">
        <v>194</v>
      </c>
      <c r="L10" s="6" t="n">
        <v>40</v>
      </c>
      <c r="M10" s="6" t="s">
        <v>215</v>
      </c>
    </row>
    <row r="11" customFormat="false" ht="39" hidden="false" customHeight="true" outlineLevel="0" collapsed="false">
      <c r="A11" s="6" t="s">
        <v>61</v>
      </c>
      <c r="B11" s="6" t="n">
        <v>73</v>
      </c>
      <c r="C11" s="6" t="n">
        <v>38404592498</v>
      </c>
      <c r="D11" s="6" t="s">
        <v>188</v>
      </c>
      <c r="E11" s="6" t="s">
        <v>216</v>
      </c>
      <c r="F11" s="6" t="s">
        <v>217</v>
      </c>
      <c r="G11" s="6" t="s">
        <v>191</v>
      </c>
      <c r="H11" s="6" t="s">
        <v>192</v>
      </c>
      <c r="I11" s="6" t="s">
        <v>193</v>
      </c>
      <c r="J11" s="6" t="s">
        <v>218</v>
      </c>
      <c r="K11" s="6" t="s">
        <v>194</v>
      </c>
      <c r="L11" s="6" t="n">
        <v>70</v>
      </c>
      <c r="M11" s="6" t="s">
        <v>203</v>
      </c>
    </row>
    <row r="12" customFormat="false" ht="39" hidden="false" customHeight="true" outlineLevel="0" collapsed="false">
      <c r="A12" s="6" t="s">
        <v>61</v>
      </c>
      <c r="B12" s="6" t="n">
        <v>73</v>
      </c>
      <c r="C12" s="6" t="n">
        <v>38405031009</v>
      </c>
      <c r="D12" s="6" t="s">
        <v>197</v>
      </c>
      <c r="E12" s="6" t="s">
        <v>219</v>
      </c>
      <c r="F12" s="6" t="s">
        <v>217</v>
      </c>
      <c r="G12" s="6" t="s">
        <v>191</v>
      </c>
      <c r="H12" s="6" t="s">
        <v>192</v>
      </c>
      <c r="I12" s="6" t="s">
        <v>193</v>
      </c>
      <c r="J12" s="6" t="s">
        <v>220</v>
      </c>
      <c r="K12" s="6" t="s">
        <v>194</v>
      </c>
      <c r="L12" s="6" t="n">
        <v>70</v>
      </c>
      <c r="M12" s="6" t="s">
        <v>203</v>
      </c>
    </row>
    <row r="13" customFormat="false" ht="26.25" hidden="false" customHeight="true" outlineLevel="0" collapsed="false">
      <c r="A13" s="6" t="s">
        <v>61</v>
      </c>
      <c r="B13" s="6" t="n">
        <v>73</v>
      </c>
      <c r="C13" s="6" t="n">
        <v>38405139458</v>
      </c>
      <c r="D13" s="6" t="s">
        <v>197</v>
      </c>
      <c r="E13" s="6" t="s">
        <v>221</v>
      </c>
      <c r="F13" s="6" t="s">
        <v>217</v>
      </c>
      <c r="G13" s="6" t="s">
        <v>191</v>
      </c>
      <c r="H13" s="6" t="s">
        <v>192</v>
      </c>
      <c r="I13" s="6" t="s">
        <v>193</v>
      </c>
      <c r="J13" s="6" t="s">
        <v>222</v>
      </c>
      <c r="K13" s="6" t="s">
        <v>194</v>
      </c>
      <c r="L13" s="6" t="n">
        <v>70</v>
      </c>
      <c r="M13" s="6" t="s">
        <v>203</v>
      </c>
    </row>
    <row r="14" customFormat="false" ht="26.25" hidden="false" customHeight="true" outlineLevel="0" collapsed="false">
      <c r="A14" s="6" t="s">
        <v>71</v>
      </c>
      <c r="B14" s="6" t="n">
        <v>74</v>
      </c>
      <c r="C14" s="6" t="n">
        <v>38404594354</v>
      </c>
      <c r="D14" s="6" t="s">
        <v>188</v>
      </c>
      <c r="E14" s="6" t="s">
        <v>223</v>
      </c>
      <c r="F14" s="6" t="s">
        <v>224</v>
      </c>
      <c r="G14" s="6" t="s">
        <v>191</v>
      </c>
      <c r="H14" s="6" t="s">
        <v>192</v>
      </c>
      <c r="I14" s="6" t="s">
        <v>193</v>
      </c>
      <c r="J14" s="6" t="s">
        <v>225</v>
      </c>
      <c r="K14" s="6" t="s">
        <v>226</v>
      </c>
      <c r="L14" s="6" t="n">
        <v>70</v>
      </c>
      <c r="M14" s="6" t="s">
        <v>203</v>
      </c>
    </row>
    <row r="15" customFormat="false" ht="26.25" hidden="false" customHeight="true" outlineLevel="0" collapsed="false">
      <c r="A15" s="6" t="s">
        <v>71</v>
      </c>
      <c r="B15" s="6" t="n">
        <v>74</v>
      </c>
      <c r="C15" s="6" t="n">
        <v>38405039302</v>
      </c>
      <c r="D15" s="6" t="s">
        <v>197</v>
      </c>
      <c r="E15" s="6" t="s">
        <v>227</v>
      </c>
      <c r="F15" s="6" t="s">
        <v>224</v>
      </c>
      <c r="G15" s="6" t="s">
        <v>191</v>
      </c>
      <c r="H15" s="6" t="s">
        <v>192</v>
      </c>
      <c r="I15" s="6" t="s">
        <v>193</v>
      </c>
      <c r="J15" s="6" t="s">
        <v>228</v>
      </c>
      <c r="K15" s="6" t="s">
        <v>229</v>
      </c>
      <c r="L15" s="6" t="n">
        <v>70</v>
      </c>
      <c r="M15" s="6" t="s">
        <v>203</v>
      </c>
    </row>
    <row r="16" customFormat="false" ht="26.25" hidden="false" customHeight="true" outlineLevel="0" collapsed="false">
      <c r="A16" s="6" t="s">
        <v>71</v>
      </c>
      <c r="B16" s="6" t="n">
        <v>74</v>
      </c>
      <c r="C16" s="6" t="n">
        <v>38405149036</v>
      </c>
      <c r="D16" s="6" t="s">
        <v>197</v>
      </c>
      <c r="E16" s="6" t="s">
        <v>230</v>
      </c>
      <c r="F16" s="6" t="s">
        <v>224</v>
      </c>
      <c r="G16" s="6" t="s">
        <v>191</v>
      </c>
      <c r="H16" s="6" t="s">
        <v>192</v>
      </c>
      <c r="I16" s="6" t="s">
        <v>193</v>
      </c>
      <c r="J16" s="6" t="s">
        <v>231</v>
      </c>
      <c r="K16" s="6" t="s">
        <v>232</v>
      </c>
      <c r="L16" s="6" t="n">
        <v>85</v>
      </c>
      <c r="M16" s="6" t="s">
        <v>196</v>
      </c>
    </row>
    <row r="17" customFormat="false" ht="26.25" hidden="false" customHeight="true" outlineLevel="0" collapsed="false">
      <c r="A17" s="6" t="s">
        <v>80</v>
      </c>
      <c r="B17" s="6" t="n">
        <v>75</v>
      </c>
      <c r="C17" s="6" t="n">
        <v>38404596950</v>
      </c>
      <c r="D17" s="6" t="s">
        <v>188</v>
      </c>
      <c r="E17" s="6" t="s">
        <v>233</v>
      </c>
      <c r="F17" s="6" t="s">
        <v>234</v>
      </c>
      <c r="G17" s="6" t="s">
        <v>191</v>
      </c>
      <c r="H17" s="6" t="s">
        <v>192</v>
      </c>
      <c r="I17" s="6" t="s">
        <v>193</v>
      </c>
      <c r="J17" s="6" t="s">
        <v>235</v>
      </c>
      <c r="K17" s="6" t="s">
        <v>194</v>
      </c>
      <c r="L17" s="6" t="n">
        <v>85</v>
      </c>
      <c r="M17" s="6" t="s">
        <v>196</v>
      </c>
    </row>
    <row r="18" customFormat="false" ht="26.25" hidden="false" customHeight="true" outlineLevel="0" collapsed="false">
      <c r="A18" s="6" t="s">
        <v>80</v>
      </c>
      <c r="B18" s="6" t="n">
        <v>75</v>
      </c>
      <c r="C18" s="6" t="n">
        <v>38405047995</v>
      </c>
      <c r="D18" s="6" t="s">
        <v>197</v>
      </c>
      <c r="E18" s="6" t="s">
        <v>236</v>
      </c>
      <c r="F18" s="6" t="s">
        <v>234</v>
      </c>
      <c r="G18" s="6" t="s">
        <v>191</v>
      </c>
      <c r="H18" s="6" t="s">
        <v>192</v>
      </c>
      <c r="I18" s="6" t="s">
        <v>193</v>
      </c>
      <c r="J18" s="6" t="s">
        <v>237</v>
      </c>
      <c r="K18" s="6" t="s">
        <v>194</v>
      </c>
      <c r="L18" s="6" t="n">
        <v>85</v>
      </c>
      <c r="M18" s="6" t="s">
        <v>196</v>
      </c>
    </row>
    <row r="19" customFormat="false" ht="26.25" hidden="false" customHeight="true" outlineLevel="0" collapsed="false">
      <c r="A19" s="6" t="s">
        <v>80</v>
      </c>
      <c r="B19" s="6" t="n">
        <v>75</v>
      </c>
      <c r="C19" s="6" t="n">
        <v>38405157604</v>
      </c>
      <c r="D19" s="6" t="s">
        <v>197</v>
      </c>
      <c r="E19" s="6" t="s">
        <v>238</v>
      </c>
      <c r="F19" s="6" t="s">
        <v>234</v>
      </c>
      <c r="G19" s="6" t="s">
        <v>191</v>
      </c>
      <c r="H19" s="6" t="s">
        <v>192</v>
      </c>
      <c r="I19" s="6" t="s">
        <v>193</v>
      </c>
      <c r="J19" s="6" t="s">
        <v>239</v>
      </c>
      <c r="K19" s="6" t="s">
        <v>194</v>
      </c>
      <c r="L19" s="6" t="n">
        <v>85</v>
      </c>
      <c r="M19" s="6" t="s">
        <v>196</v>
      </c>
    </row>
    <row r="20" customFormat="false" ht="64.5" hidden="false" customHeight="true" outlineLevel="0" collapsed="false">
      <c r="A20" s="6" t="s">
        <v>89</v>
      </c>
      <c r="B20" s="6" t="n">
        <v>76</v>
      </c>
      <c r="C20" s="6" t="n">
        <v>38404600206</v>
      </c>
      <c r="D20" s="6" t="s">
        <v>188</v>
      </c>
      <c r="E20" s="6" t="s">
        <v>233</v>
      </c>
      <c r="F20" s="6" t="s">
        <v>240</v>
      </c>
      <c r="G20" s="6" t="s">
        <v>191</v>
      </c>
      <c r="H20" s="6" t="s">
        <v>192</v>
      </c>
      <c r="I20" s="6" t="s">
        <v>193</v>
      </c>
      <c r="J20" s="6" t="s">
        <v>241</v>
      </c>
      <c r="K20" s="6" t="s">
        <v>242</v>
      </c>
      <c r="L20" s="6" t="n">
        <v>65</v>
      </c>
      <c r="M20" s="6" t="s">
        <v>215</v>
      </c>
    </row>
    <row r="21" customFormat="false" ht="51.75" hidden="false" customHeight="true" outlineLevel="0" collapsed="false">
      <c r="A21" s="6" t="s">
        <v>89</v>
      </c>
      <c r="B21" s="6" t="n">
        <v>76</v>
      </c>
      <c r="C21" s="6" t="n">
        <v>38405057461</v>
      </c>
      <c r="D21" s="6" t="s">
        <v>197</v>
      </c>
      <c r="E21" s="6" t="s">
        <v>243</v>
      </c>
      <c r="F21" s="6" t="s">
        <v>240</v>
      </c>
      <c r="G21" s="6" t="s">
        <v>191</v>
      </c>
      <c r="H21" s="6" t="s">
        <v>192</v>
      </c>
      <c r="I21" s="6" t="s">
        <v>193</v>
      </c>
      <c r="J21" s="6" t="s">
        <v>244</v>
      </c>
      <c r="K21" s="6" t="s">
        <v>245</v>
      </c>
      <c r="L21" s="6" t="n">
        <v>65</v>
      </c>
      <c r="M21" s="6" t="s">
        <v>215</v>
      </c>
    </row>
    <row r="22" customFormat="false" ht="51.75" hidden="false" customHeight="true" outlineLevel="0" collapsed="false">
      <c r="A22" s="6" t="s">
        <v>89</v>
      </c>
      <c r="B22" s="6" t="n">
        <v>76</v>
      </c>
      <c r="C22" s="6" t="n">
        <v>38405166219</v>
      </c>
      <c r="D22" s="6" t="s">
        <v>197</v>
      </c>
      <c r="E22" s="6" t="s">
        <v>246</v>
      </c>
      <c r="F22" s="6" t="s">
        <v>240</v>
      </c>
      <c r="G22" s="6" t="s">
        <v>191</v>
      </c>
      <c r="H22" s="6" t="s">
        <v>192</v>
      </c>
      <c r="I22" s="6" t="s">
        <v>193</v>
      </c>
      <c r="J22" s="6" t="s">
        <v>247</v>
      </c>
      <c r="K22" s="6" t="s">
        <v>248</v>
      </c>
      <c r="L22" s="6" t="n">
        <v>65</v>
      </c>
      <c r="M22" s="6" t="s">
        <v>215</v>
      </c>
    </row>
    <row r="23" customFormat="false" ht="51.75" hidden="false" customHeight="true" outlineLevel="0" collapsed="false">
      <c r="A23" s="6" t="s">
        <v>99</v>
      </c>
      <c r="B23" s="6" t="n">
        <v>77</v>
      </c>
      <c r="C23" s="6" t="n">
        <v>38404605125</v>
      </c>
      <c r="D23" s="6" t="s">
        <v>188</v>
      </c>
      <c r="E23" s="6" t="s">
        <v>249</v>
      </c>
      <c r="F23" s="6" t="s">
        <v>250</v>
      </c>
      <c r="G23" s="6" t="s">
        <v>191</v>
      </c>
      <c r="H23" s="6" t="s">
        <v>192</v>
      </c>
      <c r="I23" s="6" t="s">
        <v>251</v>
      </c>
      <c r="J23" s="6" t="s">
        <v>68</v>
      </c>
      <c r="K23" s="6" t="s">
        <v>252</v>
      </c>
      <c r="L23" s="6" t="s">
        <v>68</v>
      </c>
      <c r="M23" s="6" t="s">
        <v>68</v>
      </c>
    </row>
    <row r="24" customFormat="false" ht="90" hidden="false" customHeight="true" outlineLevel="0" collapsed="false">
      <c r="A24" s="6" t="s">
        <v>99</v>
      </c>
      <c r="B24" s="6" t="n">
        <v>77</v>
      </c>
      <c r="C24" s="6" t="n">
        <v>38405066857</v>
      </c>
      <c r="D24" s="6" t="s">
        <v>197</v>
      </c>
      <c r="E24" s="6" t="s">
        <v>253</v>
      </c>
      <c r="F24" s="6" t="s">
        <v>250</v>
      </c>
      <c r="G24" s="6" t="s">
        <v>191</v>
      </c>
      <c r="H24" s="6" t="s">
        <v>192</v>
      </c>
      <c r="I24" s="6" t="s">
        <v>193</v>
      </c>
      <c r="J24" s="6" t="s">
        <v>194</v>
      </c>
      <c r="K24" s="6" t="s">
        <v>254</v>
      </c>
      <c r="L24" s="6" t="n">
        <v>100</v>
      </c>
      <c r="M24" s="6" t="s">
        <v>196</v>
      </c>
    </row>
    <row r="25" customFormat="false" ht="39" hidden="false" customHeight="true" outlineLevel="0" collapsed="false">
      <c r="A25" s="6" t="s">
        <v>99</v>
      </c>
      <c r="B25" s="6" t="n">
        <v>77</v>
      </c>
      <c r="C25" s="6" t="n">
        <v>38405174844</v>
      </c>
      <c r="D25" s="6" t="s">
        <v>197</v>
      </c>
      <c r="E25" s="6" t="s">
        <v>255</v>
      </c>
      <c r="F25" s="6" t="s">
        <v>250</v>
      </c>
      <c r="G25" s="6" t="s">
        <v>191</v>
      </c>
      <c r="H25" s="6" t="s">
        <v>192</v>
      </c>
      <c r="I25" s="6" t="s">
        <v>193</v>
      </c>
      <c r="J25" s="6" t="s">
        <v>194</v>
      </c>
      <c r="K25" s="6" t="s">
        <v>256</v>
      </c>
      <c r="L25" s="6" t="n">
        <v>100</v>
      </c>
      <c r="M25" s="6" t="s">
        <v>196</v>
      </c>
    </row>
    <row r="26" customFormat="false" ht="26.25" hidden="false" customHeight="true" outlineLevel="0" collapsed="false">
      <c r="A26" s="6" t="s">
        <v>99</v>
      </c>
      <c r="B26" s="6" t="n">
        <v>77</v>
      </c>
      <c r="C26" s="6" t="n">
        <v>38405218950</v>
      </c>
      <c r="D26" s="6" t="s">
        <v>197</v>
      </c>
      <c r="E26" s="6" t="s">
        <v>257</v>
      </c>
      <c r="F26" s="6" t="s">
        <v>250</v>
      </c>
      <c r="G26" s="6" t="s">
        <v>191</v>
      </c>
      <c r="H26" s="6" t="s">
        <v>192</v>
      </c>
      <c r="I26" s="6" t="s">
        <v>193</v>
      </c>
      <c r="J26" s="6" t="s">
        <v>258</v>
      </c>
      <c r="K26" s="6" t="s">
        <v>194</v>
      </c>
      <c r="L26" s="6" t="n">
        <v>85</v>
      </c>
      <c r="M26" s="6" t="s">
        <v>196</v>
      </c>
    </row>
    <row r="27" customFormat="false" ht="39" hidden="false" customHeight="true" outlineLevel="0" collapsed="false">
      <c r="A27" s="6" t="s">
        <v>108</v>
      </c>
      <c r="B27" s="6" t="n">
        <v>78</v>
      </c>
      <c r="C27" s="6" t="n">
        <v>38404607277</v>
      </c>
      <c r="D27" s="6" t="s">
        <v>188</v>
      </c>
      <c r="E27" s="6" t="s">
        <v>259</v>
      </c>
      <c r="F27" s="6" t="s">
        <v>260</v>
      </c>
      <c r="G27" s="6" t="s">
        <v>191</v>
      </c>
      <c r="H27" s="6" t="s">
        <v>192</v>
      </c>
      <c r="I27" s="6" t="s">
        <v>193</v>
      </c>
      <c r="J27" s="6" t="s">
        <v>261</v>
      </c>
      <c r="K27" s="6" t="s">
        <v>194</v>
      </c>
      <c r="L27" s="6" t="n">
        <v>85</v>
      </c>
      <c r="M27" s="6" t="s">
        <v>196</v>
      </c>
    </row>
    <row r="28" customFormat="false" ht="39" hidden="false" customHeight="true" outlineLevel="0" collapsed="false">
      <c r="A28" s="6" t="s">
        <v>108</v>
      </c>
      <c r="B28" s="6" t="n">
        <v>78</v>
      </c>
      <c r="C28" s="6" t="n">
        <v>38405075984</v>
      </c>
      <c r="D28" s="6" t="s">
        <v>197</v>
      </c>
      <c r="E28" s="6" t="s">
        <v>262</v>
      </c>
      <c r="F28" s="6" t="s">
        <v>260</v>
      </c>
      <c r="G28" s="6" t="s">
        <v>191</v>
      </c>
      <c r="H28" s="6" t="s">
        <v>192</v>
      </c>
      <c r="I28" s="6" t="s">
        <v>193</v>
      </c>
      <c r="J28" s="6" t="s">
        <v>263</v>
      </c>
      <c r="K28" s="6" t="s">
        <v>194</v>
      </c>
      <c r="L28" s="6" t="n">
        <v>85</v>
      </c>
      <c r="M28" s="6" t="s">
        <v>196</v>
      </c>
    </row>
    <row r="29" customFormat="false" ht="26.25" hidden="false" customHeight="true" outlineLevel="0" collapsed="false">
      <c r="A29" s="6" t="s">
        <v>108</v>
      </c>
      <c r="B29" s="6" t="n">
        <v>78</v>
      </c>
      <c r="C29" s="6" t="n">
        <v>38405183161</v>
      </c>
      <c r="D29" s="6" t="s">
        <v>197</v>
      </c>
      <c r="E29" s="6" t="s">
        <v>264</v>
      </c>
      <c r="F29" s="6" t="s">
        <v>260</v>
      </c>
      <c r="G29" s="6" t="s">
        <v>191</v>
      </c>
      <c r="H29" s="6" t="s">
        <v>192</v>
      </c>
      <c r="I29" s="6" t="s">
        <v>193</v>
      </c>
      <c r="J29" s="6" t="s">
        <v>265</v>
      </c>
      <c r="K29" s="6" t="s">
        <v>194</v>
      </c>
      <c r="L29" s="6" t="n">
        <v>85</v>
      </c>
      <c r="M29" s="6" t="s">
        <v>196</v>
      </c>
    </row>
    <row r="30" customFormat="false" ht="64.5" hidden="false" customHeight="true" outlineLevel="0" collapsed="false">
      <c r="A30" s="6" t="s">
        <v>116</v>
      </c>
      <c r="B30" s="6" t="n">
        <v>79</v>
      </c>
      <c r="C30" s="6" t="n">
        <v>38404612132</v>
      </c>
      <c r="D30" s="6" t="s">
        <v>188</v>
      </c>
      <c r="E30" s="6" t="s">
        <v>266</v>
      </c>
      <c r="F30" s="6" t="s">
        <v>267</v>
      </c>
      <c r="G30" s="6" t="s">
        <v>191</v>
      </c>
      <c r="H30" s="6" t="s">
        <v>192</v>
      </c>
      <c r="I30" s="6" t="s">
        <v>193</v>
      </c>
      <c r="J30" s="6" t="s">
        <v>268</v>
      </c>
      <c r="K30" s="6" t="s">
        <v>194</v>
      </c>
      <c r="L30" s="6" t="n">
        <v>65</v>
      </c>
      <c r="M30" s="6" t="s">
        <v>215</v>
      </c>
    </row>
    <row r="31" customFormat="false" ht="39" hidden="false" customHeight="true" outlineLevel="0" collapsed="false">
      <c r="A31" s="6" t="s">
        <v>116</v>
      </c>
      <c r="B31" s="6" t="n">
        <v>79</v>
      </c>
      <c r="C31" s="6" t="n">
        <v>38405084901</v>
      </c>
      <c r="D31" s="6" t="s">
        <v>197</v>
      </c>
      <c r="E31" s="6" t="s">
        <v>269</v>
      </c>
      <c r="F31" s="6" t="s">
        <v>267</v>
      </c>
      <c r="G31" s="6" t="s">
        <v>191</v>
      </c>
      <c r="H31" s="6" t="s">
        <v>192</v>
      </c>
      <c r="I31" s="6" t="s">
        <v>193</v>
      </c>
      <c r="J31" s="6" t="s">
        <v>270</v>
      </c>
      <c r="K31" s="6" t="s">
        <v>194</v>
      </c>
      <c r="L31" s="6" t="n">
        <v>70</v>
      </c>
      <c r="M31" s="6" t="s">
        <v>203</v>
      </c>
    </row>
    <row r="32" customFormat="false" ht="64.5" hidden="false" customHeight="true" outlineLevel="0" collapsed="false">
      <c r="A32" s="6" t="s">
        <v>116</v>
      </c>
      <c r="B32" s="6" t="n">
        <v>79</v>
      </c>
      <c r="C32" s="6" t="n">
        <v>38405192342</v>
      </c>
      <c r="D32" s="6" t="s">
        <v>197</v>
      </c>
      <c r="E32" s="6" t="s">
        <v>271</v>
      </c>
      <c r="F32" s="6" t="s">
        <v>267</v>
      </c>
      <c r="G32" s="6" t="s">
        <v>191</v>
      </c>
      <c r="H32" s="6" t="s">
        <v>192</v>
      </c>
      <c r="I32" s="6" t="s">
        <v>193</v>
      </c>
      <c r="J32" s="6" t="s">
        <v>272</v>
      </c>
      <c r="K32" s="6" t="s">
        <v>194</v>
      </c>
      <c r="L32" s="6" t="n">
        <v>65</v>
      </c>
      <c r="M32" s="6" t="s">
        <v>215</v>
      </c>
    </row>
    <row r="33" customFormat="false" ht="39" hidden="false" customHeight="true" outlineLevel="0" collapsed="false">
      <c r="A33" s="6" t="s">
        <v>125</v>
      </c>
      <c r="B33" s="6" t="n">
        <v>80</v>
      </c>
      <c r="C33" s="6" t="n">
        <v>38404613836</v>
      </c>
      <c r="D33" s="6" t="s">
        <v>188</v>
      </c>
      <c r="E33" s="6" t="s">
        <v>273</v>
      </c>
      <c r="F33" s="6" t="s">
        <v>274</v>
      </c>
      <c r="G33" s="6" t="s">
        <v>191</v>
      </c>
      <c r="H33" s="6" t="s">
        <v>192</v>
      </c>
      <c r="I33" s="6" t="s">
        <v>193</v>
      </c>
      <c r="J33" s="6" t="s">
        <v>275</v>
      </c>
      <c r="K33" s="6" t="s">
        <v>194</v>
      </c>
      <c r="L33" s="6" t="n">
        <v>70</v>
      </c>
      <c r="M33" s="6" t="s">
        <v>203</v>
      </c>
    </row>
    <row r="34" customFormat="false" ht="39" hidden="false" customHeight="true" outlineLevel="0" collapsed="false">
      <c r="A34" s="6" t="s">
        <v>125</v>
      </c>
      <c r="B34" s="6" t="n">
        <v>80</v>
      </c>
      <c r="C34" s="6" t="n">
        <v>38405093864</v>
      </c>
      <c r="D34" s="6" t="s">
        <v>197</v>
      </c>
      <c r="E34" s="6" t="s">
        <v>276</v>
      </c>
      <c r="F34" s="6" t="s">
        <v>274</v>
      </c>
      <c r="G34" s="6" t="s">
        <v>191</v>
      </c>
      <c r="H34" s="6" t="s">
        <v>192</v>
      </c>
      <c r="I34" s="6" t="s">
        <v>193</v>
      </c>
      <c r="J34" s="6" t="s">
        <v>277</v>
      </c>
      <c r="K34" s="6" t="s">
        <v>194</v>
      </c>
      <c r="L34" s="6" t="n">
        <v>70</v>
      </c>
      <c r="M34" s="6" t="s">
        <v>203</v>
      </c>
    </row>
    <row r="35" customFormat="false" ht="39" hidden="false" customHeight="true" outlineLevel="0" collapsed="false">
      <c r="A35" s="6" t="s">
        <v>125</v>
      </c>
      <c r="B35" s="6" t="n">
        <v>80</v>
      </c>
      <c r="C35" s="6" t="n">
        <v>38405200842</v>
      </c>
      <c r="D35" s="6" t="s">
        <v>197</v>
      </c>
      <c r="E35" s="6" t="s">
        <v>278</v>
      </c>
      <c r="F35" s="6" t="s">
        <v>274</v>
      </c>
      <c r="G35" s="6" t="s">
        <v>191</v>
      </c>
      <c r="H35" s="6" t="s">
        <v>192</v>
      </c>
      <c r="I35" s="6" t="s">
        <v>193</v>
      </c>
      <c r="J35" s="6" t="s">
        <v>279</v>
      </c>
      <c r="K35" s="6" t="s">
        <v>194</v>
      </c>
      <c r="L35" s="6" t="n">
        <v>70</v>
      </c>
      <c r="M35" s="6" t="s">
        <v>203</v>
      </c>
    </row>
    <row r="36" customFormat="false" ht="90" hidden="false" customHeight="true" outlineLevel="0" collapsed="false">
      <c r="A36" s="6" t="s">
        <v>132</v>
      </c>
      <c r="B36" s="6" t="n">
        <v>81</v>
      </c>
      <c r="C36" s="6" t="n">
        <v>38404619147</v>
      </c>
      <c r="D36" s="6" t="s">
        <v>188</v>
      </c>
      <c r="E36" s="6" t="s">
        <v>280</v>
      </c>
      <c r="F36" s="6" t="s">
        <v>281</v>
      </c>
      <c r="G36" s="6" t="s">
        <v>191</v>
      </c>
      <c r="H36" s="6" t="s">
        <v>192</v>
      </c>
      <c r="I36" s="6" t="s">
        <v>193</v>
      </c>
      <c r="J36" s="6" t="s">
        <v>282</v>
      </c>
      <c r="K36" s="6" t="s">
        <v>194</v>
      </c>
      <c r="L36" s="6" t="n">
        <v>50</v>
      </c>
      <c r="M36" s="6" t="s">
        <v>215</v>
      </c>
    </row>
    <row r="37" customFormat="false" ht="26.25" hidden="false" customHeight="true" outlineLevel="0" collapsed="false">
      <c r="A37" s="6" t="s">
        <v>132</v>
      </c>
      <c r="B37" s="6" t="n">
        <v>81</v>
      </c>
      <c r="C37" s="6" t="n">
        <v>38405103514</v>
      </c>
      <c r="D37" s="6" t="s">
        <v>197</v>
      </c>
      <c r="E37" s="6" t="s">
        <v>283</v>
      </c>
      <c r="F37" s="6" t="s">
        <v>281</v>
      </c>
      <c r="G37" s="6" t="s">
        <v>191</v>
      </c>
      <c r="H37" s="6" t="s">
        <v>192</v>
      </c>
      <c r="I37" s="6" t="s">
        <v>193</v>
      </c>
      <c r="J37" s="6" t="s">
        <v>284</v>
      </c>
      <c r="K37" s="6" t="s">
        <v>285</v>
      </c>
      <c r="L37" s="6" t="n">
        <v>95</v>
      </c>
      <c r="M37" s="6" t="s">
        <v>196</v>
      </c>
    </row>
    <row r="38" customFormat="false" ht="90" hidden="false" customHeight="true" outlineLevel="0" collapsed="false">
      <c r="A38" s="6" t="s">
        <v>132</v>
      </c>
      <c r="B38" s="6" t="n">
        <v>81</v>
      </c>
      <c r="C38" s="6" t="n">
        <v>38405210047</v>
      </c>
      <c r="D38" s="6" t="s">
        <v>197</v>
      </c>
      <c r="E38" s="6" t="s">
        <v>286</v>
      </c>
      <c r="F38" s="6" t="s">
        <v>281</v>
      </c>
      <c r="G38" s="6" t="s">
        <v>191</v>
      </c>
      <c r="H38" s="6" t="s">
        <v>192</v>
      </c>
      <c r="I38" s="6" t="s">
        <v>193</v>
      </c>
      <c r="J38" s="6" t="s">
        <v>194</v>
      </c>
      <c r="K38" s="6" t="s">
        <v>287</v>
      </c>
      <c r="L38" s="6" t="n">
        <v>100</v>
      </c>
      <c r="M38" s="6" t="s">
        <v>196</v>
      </c>
    </row>
    <row r="40" customFormat="false" ht="15" hidden="false" customHeight="true" outlineLevel="0" collapsed="false">
      <c r="A40" s="15" t="s">
        <v>288</v>
      </c>
    </row>
  </sheetData>
  <autoFilter ref="A1:M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10"/>
    <col collapsed="false" customWidth="true" hidden="false" outlineLevel="0" max="4" min="4" style="1" width="50"/>
    <col collapsed="false" customWidth="true" hidden="false" outlineLevel="0" max="5" min="5" style="1" width="60"/>
    <col collapsed="false" customWidth="true" hidden="false" outlineLevel="0" max="7" min="6" style="1" width="14"/>
    <col collapsed="false" customWidth="true" hidden="false" outlineLevel="0" max="8" min="8" style="1" width="16"/>
  </cols>
  <sheetData>
    <row r="1" customFormat="false" ht="51.75" hidden="false" customHeight="true" outlineLevel="0" collapsed="false">
      <c r="A1" s="5" t="s">
        <v>10</v>
      </c>
      <c r="B1" s="5" t="s">
        <v>289</v>
      </c>
      <c r="C1" s="5" t="s">
        <v>290</v>
      </c>
      <c r="D1" s="5" t="s">
        <v>291</v>
      </c>
      <c r="E1" s="5" t="s">
        <v>292</v>
      </c>
      <c r="F1" s="5" t="s">
        <v>293</v>
      </c>
      <c r="G1" s="5" t="s">
        <v>294</v>
      </c>
      <c r="H1" s="5" t="s">
        <v>295</v>
      </c>
    </row>
    <row r="2" customFormat="false" ht="26.25" hidden="false" customHeight="true" outlineLevel="0" collapsed="false">
      <c r="A2" s="6" t="s">
        <v>25</v>
      </c>
      <c r="B2" s="6" t="n">
        <v>7</v>
      </c>
      <c r="C2" s="6" t="n">
        <v>0</v>
      </c>
      <c r="D2" s="6" t="s">
        <v>194</v>
      </c>
      <c r="E2" s="6" t="s">
        <v>194</v>
      </c>
      <c r="F2" s="6" t="s">
        <v>296</v>
      </c>
      <c r="G2" s="6" t="s">
        <v>297</v>
      </c>
      <c r="H2" s="6" t="s">
        <v>297</v>
      </c>
    </row>
    <row r="3" customFormat="false" ht="51.75" hidden="false" customHeight="true" outlineLevel="0" collapsed="false">
      <c r="A3" s="6" t="s">
        <v>38</v>
      </c>
      <c r="B3" s="6" t="n">
        <v>7</v>
      </c>
      <c r="C3" s="6" t="n">
        <v>0</v>
      </c>
      <c r="D3" s="6" t="s">
        <v>194</v>
      </c>
      <c r="E3" s="6" t="s">
        <v>298</v>
      </c>
      <c r="F3" s="6" t="s">
        <v>296</v>
      </c>
      <c r="G3" s="6" t="s">
        <v>297</v>
      </c>
      <c r="H3" s="6" t="s">
        <v>297</v>
      </c>
    </row>
    <row r="4" customFormat="false" ht="51.75" hidden="false" customHeight="true" outlineLevel="0" collapsed="false">
      <c r="A4" s="6" t="s">
        <v>51</v>
      </c>
      <c r="B4" s="6" t="n">
        <v>7</v>
      </c>
      <c r="C4" s="6" t="n">
        <v>0</v>
      </c>
      <c r="D4" s="6" t="s">
        <v>194</v>
      </c>
      <c r="E4" s="6" t="s">
        <v>299</v>
      </c>
      <c r="F4" s="6" t="s">
        <v>296</v>
      </c>
      <c r="G4" s="6" t="s">
        <v>297</v>
      </c>
      <c r="H4" s="6" t="s">
        <v>297</v>
      </c>
    </row>
    <row r="5" customFormat="false" ht="26.25" hidden="false" customHeight="true" outlineLevel="0" collapsed="false">
      <c r="A5" s="6" t="s">
        <v>61</v>
      </c>
      <c r="B5" s="6" t="n">
        <v>7</v>
      </c>
      <c r="C5" s="6" t="n">
        <v>0</v>
      </c>
      <c r="D5" s="6" t="s">
        <v>194</v>
      </c>
      <c r="E5" s="6" t="s">
        <v>300</v>
      </c>
      <c r="F5" s="6" t="s">
        <v>296</v>
      </c>
      <c r="G5" s="6" t="s">
        <v>297</v>
      </c>
      <c r="H5" s="6" t="s">
        <v>297</v>
      </c>
    </row>
    <row r="6" customFormat="false" ht="26.25" hidden="false" customHeight="true" outlineLevel="0" collapsed="false">
      <c r="A6" s="6" t="s">
        <v>71</v>
      </c>
      <c r="B6" s="6" t="n">
        <v>6</v>
      </c>
      <c r="C6" s="6" t="n">
        <v>1</v>
      </c>
      <c r="D6" s="6" t="s">
        <v>301</v>
      </c>
      <c r="E6" s="6" t="s">
        <v>194</v>
      </c>
      <c r="F6" s="6" t="s">
        <v>296</v>
      </c>
      <c r="G6" s="6" t="s">
        <v>297</v>
      </c>
      <c r="H6" s="6" t="s">
        <v>297</v>
      </c>
    </row>
    <row r="7" customFormat="false" ht="26.25" hidden="false" customHeight="true" outlineLevel="0" collapsed="false">
      <c r="A7" s="6" t="s">
        <v>80</v>
      </c>
      <c r="B7" s="6" t="n">
        <v>5</v>
      </c>
      <c r="C7" s="6" t="n">
        <v>2</v>
      </c>
      <c r="D7" s="6" t="s">
        <v>302</v>
      </c>
      <c r="E7" s="6" t="s">
        <v>194</v>
      </c>
      <c r="F7" s="6" t="s">
        <v>296</v>
      </c>
      <c r="G7" s="6" t="s">
        <v>297</v>
      </c>
      <c r="H7" s="6" t="s">
        <v>297</v>
      </c>
    </row>
    <row r="8" customFormat="false" ht="77.25" hidden="false" customHeight="true" outlineLevel="0" collapsed="false">
      <c r="A8" s="6" t="s">
        <v>89</v>
      </c>
      <c r="B8" s="6" t="n">
        <v>11</v>
      </c>
      <c r="C8" s="6" t="n">
        <v>11</v>
      </c>
      <c r="D8" s="6" t="s">
        <v>303</v>
      </c>
      <c r="E8" s="6" t="s">
        <v>304</v>
      </c>
      <c r="F8" s="6" t="s">
        <v>296</v>
      </c>
      <c r="G8" s="6" t="s">
        <v>297</v>
      </c>
      <c r="H8" s="6" t="s">
        <v>297</v>
      </c>
    </row>
    <row r="9" customFormat="false" ht="26.25" hidden="false" customHeight="true" outlineLevel="0" collapsed="false">
      <c r="A9" s="6" t="s">
        <v>99</v>
      </c>
      <c r="B9" s="6" t="n">
        <v>7</v>
      </c>
      <c r="C9" s="6" t="n">
        <v>0</v>
      </c>
      <c r="D9" s="6" t="s">
        <v>194</v>
      </c>
      <c r="E9" s="6" t="s">
        <v>194</v>
      </c>
      <c r="F9" s="6" t="s">
        <v>296</v>
      </c>
      <c r="G9" s="6" t="s">
        <v>297</v>
      </c>
      <c r="H9" s="6" t="s">
        <v>297</v>
      </c>
    </row>
    <row r="10" customFormat="false" ht="26.25" hidden="false" customHeight="true" outlineLevel="0" collapsed="false">
      <c r="A10" s="6" t="s">
        <v>108</v>
      </c>
      <c r="B10" s="6" t="n">
        <v>7</v>
      </c>
      <c r="C10" s="6" t="n">
        <v>0</v>
      </c>
      <c r="D10" s="6" t="s">
        <v>194</v>
      </c>
      <c r="E10" s="6" t="s">
        <v>194</v>
      </c>
      <c r="F10" s="6" t="s">
        <v>296</v>
      </c>
      <c r="G10" s="6" t="s">
        <v>297</v>
      </c>
      <c r="H10" s="6" t="s">
        <v>297</v>
      </c>
    </row>
    <row r="11" customFormat="false" ht="26.25" hidden="false" customHeight="true" outlineLevel="0" collapsed="false">
      <c r="A11" s="6" t="s">
        <v>116</v>
      </c>
      <c r="B11" s="6" t="n">
        <v>7</v>
      </c>
      <c r="C11" s="6" t="n">
        <v>1</v>
      </c>
      <c r="D11" s="6" t="s">
        <v>305</v>
      </c>
      <c r="E11" s="6" t="s">
        <v>194</v>
      </c>
      <c r="F11" s="6" t="s">
        <v>296</v>
      </c>
      <c r="G11" s="6" t="s">
        <v>297</v>
      </c>
      <c r="H11" s="6" t="s">
        <v>297</v>
      </c>
    </row>
    <row r="12" customFormat="false" ht="26.25" hidden="false" customHeight="true" outlineLevel="0" collapsed="false">
      <c r="A12" s="6" t="s">
        <v>125</v>
      </c>
      <c r="B12" s="6" t="n">
        <v>7</v>
      </c>
      <c r="C12" s="6" t="n">
        <v>1</v>
      </c>
      <c r="D12" s="6" t="s">
        <v>305</v>
      </c>
      <c r="E12" s="6" t="s">
        <v>194</v>
      </c>
      <c r="F12" s="6" t="s">
        <v>296</v>
      </c>
      <c r="G12" s="6" t="s">
        <v>297</v>
      </c>
      <c r="H12" s="6" t="s">
        <v>297</v>
      </c>
    </row>
    <row r="13" customFormat="false" ht="26.25" hidden="false" customHeight="true" outlineLevel="0" collapsed="false">
      <c r="A13" s="6" t="s">
        <v>132</v>
      </c>
      <c r="B13" s="6" t="n">
        <v>11</v>
      </c>
      <c r="C13" s="6" t="n">
        <v>0</v>
      </c>
      <c r="D13" s="6" t="s">
        <v>194</v>
      </c>
      <c r="E13" s="6" t="s">
        <v>306</v>
      </c>
      <c r="F13" s="6" t="s">
        <v>296</v>
      </c>
      <c r="G13" s="6" t="s">
        <v>297</v>
      </c>
      <c r="H13" s="6" t="s">
        <v>297</v>
      </c>
    </row>
    <row r="15" customFormat="false" ht="15" hidden="false" customHeight="true" outlineLevel="0" collapsed="false">
      <c r="A15" s="15" t="s">
        <v>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
    <col collapsed="false" customWidth="true" hidden="false" outlineLevel="0" max="3" min="3" style="1" width="10"/>
    <col collapsed="false" customWidth="true" hidden="false" outlineLevel="0" max="4" min="4" style="1" width="14"/>
    <col collapsed="false" customWidth="true" hidden="false" outlineLevel="0" max="5" min="5" style="1" width="9"/>
    <col collapsed="false" customWidth="true" hidden="false" outlineLevel="0" max="6" min="6" style="1" width="55"/>
    <col collapsed="false" customWidth="true" hidden="false" outlineLevel="0" max="7" min="7" style="1" width="30"/>
    <col collapsed="false" customWidth="true" hidden="false" outlineLevel="0" max="8" min="8" style="1" width="50"/>
  </cols>
  <sheetData>
    <row r="1" customFormat="false" ht="39" hidden="false" customHeight="true" outlineLevel="0" collapsed="false">
      <c r="A1" s="5" t="s">
        <v>10</v>
      </c>
      <c r="B1" s="5" t="s">
        <v>176</v>
      </c>
      <c r="C1" s="5" t="s">
        <v>308</v>
      </c>
      <c r="D1" s="5" t="s">
        <v>177</v>
      </c>
      <c r="E1" s="5" t="s">
        <v>309</v>
      </c>
      <c r="F1" s="5" t="s">
        <v>310</v>
      </c>
      <c r="G1" s="5" t="s">
        <v>311</v>
      </c>
      <c r="H1" s="5" t="s">
        <v>312</v>
      </c>
    </row>
    <row r="2" customFormat="false" ht="39" hidden="false" customHeight="true" outlineLevel="0" collapsed="false">
      <c r="A2" s="6" t="s">
        <v>25</v>
      </c>
      <c r="B2" s="6" t="s">
        <v>313</v>
      </c>
      <c r="C2" s="6" t="s">
        <v>314</v>
      </c>
      <c r="D2" s="6" t="s">
        <v>315</v>
      </c>
      <c r="E2" s="6" t="n">
        <v>1</v>
      </c>
      <c r="F2" s="6" t="s">
        <v>316</v>
      </c>
      <c r="G2" s="6" t="s">
        <v>317</v>
      </c>
      <c r="H2" s="6" t="s">
        <v>318</v>
      </c>
    </row>
    <row r="3" customFormat="false" ht="39" hidden="false" customHeight="true" outlineLevel="0" collapsed="false">
      <c r="A3" s="6" t="s">
        <v>25</v>
      </c>
      <c r="B3" s="6" t="s">
        <v>319</v>
      </c>
      <c r="C3" s="6" t="s">
        <v>320</v>
      </c>
      <c r="D3" s="6" t="s">
        <v>321</v>
      </c>
      <c r="E3" s="6" t="n">
        <v>1</v>
      </c>
      <c r="F3" s="6" t="s">
        <v>322</v>
      </c>
      <c r="G3" s="6" t="s">
        <v>68</v>
      </c>
      <c r="H3" s="6" t="s">
        <v>323</v>
      </c>
    </row>
    <row r="4" customFormat="false" ht="26.25" hidden="false" customHeight="true" outlineLevel="0" collapsed="false">
      <c r="A4" s="6" t="s">
        <v>38</v>
      </c>
      <c r="B4" s="6" t="s">
        <v>324</v>
      </c>
      <c r="C4" s="6" t="s">
        <v>325</v>
      </c>
      <c r="D4" s="6" t="s">
        <v>326</v>
      </c>
      <c r="E4" s="6" t="n">
        <v>1</v>
      </c>
      <c r="F4" s="6" t="s">
        <v>327</v>
      </c>
      <c r="G4" s="6" t="s">
        <v>328</v>
      </c>
      <c r="H4" s="6"/>
    </row>
    <row r="5" customFormat="false" ht="26.25" hidden="false" customHeight="true" outlineLevel="0" collapsed="false">
      <c r="A5" s="6" t="s">
        <v>51</v>
      </c>
      <c r="B5" s="6" t="s">
        <v>329</v>
      </c>
      <c r="C5" s="6" t="s">
        <v>330</v>
      </c>
      <c r="D5" s="6" t="s">
        <v>331</v>
      </c>
      <c r="E5" s="6" t="n">
        <v>1</v>
      </c>
      <c r="F5" s="6" t="s">
        <v>332</v>
      </c>
      <c r="G5" s="6" t="s">
        <v>333</v>
      </c>
      <c r="H5" s="6"/>
    </row>
    <row r="6" customFormat="false" ht="15" hidden="false" customHeight="true" outlineLevel="0" collapsed="false">
      <c r="A6" s="6" t="s">
        <v>61</v>
      </c>
      <c r="B6" s="6" t="s">
        <v>334</v>
      </c>
      <c r="C6" s="6" t="s">
        <v>335</v>
      </c>
      <c r="D6" s="6" t="s">
        <v>336</v>
      </c>
      <c r="E6" s="6" t="n">
        <v>1</v>
      </c>
      <c r="F6" s="6" t="s">
        <v>337</v>
      </c>
      <c r="G6" s="6" t="s">
        <v>338</v>
      </c>
      <c r="H6" s="6" t="s">
        <v>339</v>
      </c>
    </row>
    <row r="7" customFormat="false" ht="15" hidden="false" customHeight="true" outlineLevel="0" collapsed="false">
      <c r="A7" s="6" t="s">
        <v>71</v>
      </c>
      <c r="B7" s="6" t="s">
        <v>340</v>
      </c>
      <c r="C7" s="6" t="s">
        <v>341</v>
      </c>
      <c r="D7" s="6" t="s">
        <v>342</v>
      </c>
      <c r="E7" s="6" t="n">
        <v>1</v>
      </c>
      <c r="F7" s="6" t="s">
        <v>343</v>
      </c>
      <c r="G7" s="6" t="s">
        <v>301</v>
      </c>
      <c r="H7" s="6"/>
    </row>
    <row r="8" customFormat="false" ht="26.25" hidden="false" customHeight="true" outlineLevel="0" collapsed="false">
      <c r="A8" s="6" t="s">
        <v>80</v>
      </c>
      <c r="B8" s="6" t="s">
        <v>344</v>
      </c>
      <c r="C8" s="6" t="s">
        <v>345</v>
      </c>
      <c r="D8" s="6" t="s">
        <v>346</v>
      </c>
      <c r="E8" s="6" t="n">
        <v>1</v>
      </c>
      <c r="F8" s="6" t="s">
        <v>347</v>
      </c>
      <c r="G8" s="6" t="s">
        <v>302</v>
      </c>
      <c r="H8" s="6" t="s">
        <v>348</v>
      </c>
    </row>
    <row r="9" customFormat="false" ht="51.75" hidden="false" customHeight="true" outlineLevel="0" collapsed="false">
      <c r="A9" s="6" t="s">
        <v>89</v>
      </c>
      <c r="B9" s="6" t="s">
        <v>349</v>
      </c>
      <c r="C9" s="6" t="s">
        <v>350</v>
      </c>
      <c r="D9" s="6" t="s">
        <v>351</v>
      </c>
      <c r="E9" s="6" t="n">
        <v>1</v>
      </c>
      <c r="F9" s="6" t="s">
        <v>352</v>
      </c>
      <c r="G9" s="6" t="s">
        <v>353</v>
      </c>
      <c r="H9" s="6" t="s">
        <v>354</v>
      </c>
    </row>
    <row r="10" customFormat="false" ht="15" hidden="false" customHeight="true" outlineLevel="0" collapsed="false">
      <c r="A10" s="6" t="s">
        <v>99</v>
      </c>
      <c r="B10" s="6" t="s">
        <v>355</v>
      </c>
      <c r="C10" s="6" t="s">
        <v>356</v>
      </c>
      <c r="D10" s="6" t="s">
        <v>357</v>
      </c>
      <c r="E10" s="6" t="n">
        <v>1</v>
      </c>
      <c r="F10" s="6" t="s">
        <v>358</v>
      </c>
      <c r="G10" s="6" t="s">
        <v>359</v>
      </c>
      <c r="H10" s="6"/>
    </row>
    <row r="11" customFormat="false" ht="15" hidden="false" customHeight="true" outlineLevel="0" collapsed="false">
      <c r="A11" s="6" t="s">
        <v>108</v>
      </c>
      <c r="B11" s="6" t="s">
        <v>360</v>
      </c>
      <c r="C11" s="6" t="s">
        <v>361</v>
      </c>
      <c r="D11" s="6" t="s">
        <v>362</v>
      </c>
      <c r="E11" s="6" t="n">
        <v>3</v>
      </c>
      <c r="F11" s="6" t="s">
        <v>363</v>
      </c>
      <c r="G11" s="6" t="s">
        <v>359</v>
      </c>
      <c r="H11" s="6" t="s">
        <v>364</v>
      </c>
    </row>
    <row r="12" customFormat="false" ht="26.25" hidden="false" customHeight="true" outlineLevel="0" collapsed="false">
      <c r="A12" s="6" t="s">
        <v>116</v>
      </c>
      <c r="B12" s="6" t="s">
        <v>365</v>
      </c>
      <c r="C12" s="6" t="s">
        <v>366</v>
      </c>
      <c r="D12" s="6" t="s">
        <v>367</v>
      </c>
      <c r="E12" s="6" t="n">
        <v>2</v>
      </c>
      <c r="F12" s="6" t="s">
        <v>368</v>
      </c>
      <c r="G12" s="6" t="s">
        <v>305</v>
      </c>
      <c r="H12" s="6" t="s">
        <v>369</v>
      </c>
    </row>
    <row r="13" customFormat="false" ht="26.25" hidden="false" customHeight="true" outlineLevel="0" collapsed="false">
      <c r="A13" s="6" t="s">
        <v>125</v>
      </c>
      <c r="B13" s="6" t="s">
        <v>370</v>
      </c>
      <c r="C13" s="6" t="s">
        <v>371</v>
      </c>
      <c r="D13" s="6" t="s">
        <v>372</v>
      </c>
      <c r="E13" s="6" t="n">
        <v>2</v>
      </c>
      <c r="F13" s="6" t="s">
        <v>373</v>
      </c>
      <c r="G13" s="6" t="s">
        <v>374</v>
      </c>
      <c r="H13" s="6" t="s">
        <v>375</v>
      </c>
    </row>
    <row r="14" customFormat="false" ht="15" hidden="false" customHeight="true" outlineLevel="0" collapsed="false">
      <c r="A14" s="6" t="s">
        <v>132</v>
      </c>
      <c r="B14" s="6" t="s">
        <v>376</v>
      </c>
      <c r="C14" s="6" t="s">
        <v>377</v>
      </c>
      <c r="D14" s="6" t="s">
        <v>378</v>
      </c>
      <c r="E14" s="6" t="n">
        <v>1</v>
      </c>
      <c r="F14" s="6" t="s">
        <v>379</v>
      </c>
      <c r="G14" s="6" t="s">
        <v>338</v>
      </c>
      <c r="H14" s="6"/>
    </row>
    <row r="16" customFormat="false" ht="15" hidden="false" customHeight="true" outlineLevel="0" collapsed="false">
      <c r="A16" s="15" t="s">
        <v>380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60"/>
    <col collapsed="false" customWidth="true" hidden="false" outlineLevel="0" max="3" min="3" style="1" width="70"/>
    <col collapsed="false" customWidth="true" hidden="false" outlineLevel="0" max="4" min="4" style="1" width="25"/>
  </cols>
  <sheetData>
    <row r="1" customFormat="false" ht="15" hidden="false" customHeight="true" outlineLevel="0" collapsed="false">
      <c r="A1" s="5" t="s">
        <v>381</v>
      </c>
      <c r="B1" s="5" t="s">
        <v>382</v>
      </c>
      <c r="C1" s="5" t="s">
        <v>383</v>
      </c>
      <c r="D1" s="5" t="s">
        <v>384</v>
      </c>
    </row>
    <row r="2" customFormat="false" ht="26.25" hidden="false" customHeight="true" outlineLevel="0" collapsed="false">
      <c r="A2" s="6" t="n">
        <v>1</v>
      </c>
      <c r="B2" s="6" t="s">
        <v>385</v>
      </c>
      <c r="C2" s="6" t="s">
        <v>386</v>
      </c>
      <c r="D2" s="16" t="s">
        <v>387</v>
      </c>
    </row>
    <row r="3" customFormat="false" ht="26.25" hidden="false" customHeight="true" outlineLevel="0" collapsed="false">
      <c r="A3" s="6" t="n">
        <v>2</v>
      </c>
      <c r="B3" s="6" t="s">
        <v>388</v>
      </c>
      <c r="C3" s="6" t="s">
        <v>389</v>
      </c>
      <c r="D3" s="16" t="s">
        <v>387</v>
      </c>
    </row>
    <row r="4" customFormat="false" ht="26.25" hidden="false" customHeight="true" outlineLevel="0" collapsed="false">
      <c r="A4" s="6" t="n">
        <v>3</v>
      </c>
      <c r="B4" s="6" t="s">
        <v>390</v>
      </c>
      <c r="C4" s="6" t="s">
        <v>391</v>
      </c>
      <c r="D4" s="16" t="s">
        <v>387</v>
      </c>
    </row>
    <row r="5" customFormat="false" ht="26.25" hidden="false" customHeight="true" outlineLevel="0" collapsed="false">
      <c r="A5" s="6" t="n">
        <v>4</v>
      </c>
      <c r="B5" s="6" t="s">
        <v>392</v>
      </c>
      <c r="C5" s="6" t="s">
        <v>393</v>
      </c>
      <c r="D5" s="16" t="s">
        <v>387</v>
      </c>
    </row>
    <row r="6" customFormat="false" ht="15" hidden="false" customHeight="true" outlineLevel="0" collapsed="false">
      <c r="A6" s="6" t="n">
        <v>5</v>
      </c>
      <c r="B6" s="6" t="s">
        <v>394</v>
      </c>
      <c r="C6" s="6" t="s">
        <v>395</v>
      </c>
      <c r="D6" s="16" t="s">
        <v>387</v>
      </c>
    </row>
    <row r="7" customFormat="false" ht="26.25" hidden="false" customHeight="true" outlineLevel="0" collapsed="false">
      <c r="A7" s="6" t="n">
        <v>6</v>
      </c>
      <c r="B7" s="6" t="s">
        <v>396</v>
      </c>
      <c r="C7" s="6" t="s">
        <v>397</v>
      </c>
      <c r="D7" s="16" t="s">
        <v>387</v>
      </c>
    </row>
    <row r="8" customFormat="false" ht="15" hidden="false" customHeight="true" outlineLevel="0" collapsed="false">
      <c r="A8" s="6" t="n">
        <v>7</v>
      </c>
      <c r="B8" s="6" t="s">
        <v>398</v>
      </c>
      <c r="C8" s="6" t="s">
        <v>399</v>
      </c>
      <c r="D8" s="16" t="s">
        <v>387</v>
      </c>
    </row>
    <row r="9" customFormat="false" ht="26.25" hidden="false" customHeight="true" outlineLevel="0" collapsed="false">
      <c r="A9" s="6" t="n">
        <v>8</v>
      </c>
      <c r="B9" s="6" t="s">
        <v>400</v>
      </c>
      <c r="C9" s="6" t="s">
        <v>401</v>
      </c>
      <c r="D9" s="16" t="s">
        <v>387</v>
      </c>
    </row>
    <row r="10" customFormat="false" ht="26.25" hidden="false" customHeight="true" outlineLevel="0" collapsed="false">
      <c r="A10" s="6" t="n">
        <v>9</v>
      </c>
      <c r="B10" s="6" t="s">
        <v>402</v>
      </c>
      <c r="C10" s="6" t="s">
        <v>403</v>
      </c>
      <c r="D10" s="16" t="s">
        <v>387</v>
      </c>
    </row>
    <row r="11" customFormat="false" ht="15" hidden="false" customHeight="true" outlineLevel="0" collapsed="false">
      <c r="A11" s="6" t="n">
        <v>10</v>
      </c>
      <c r="B11" s="6" t="s">
        <v>404</v>
      </c>
      <c r="C11" s="6" t="s">
        <v>68</v>
      </c>
      <c r="D11" s="16" t="s">
        <v>387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5"/>
    <col collapsed="false" customWidth="true" hidden="false" outlineLevel="0" max="4" min="3" style="0" width="45"/>
  </cols>
  <sheetData>
    <row r="1" customFormat="false" ht="17.35" hidden="false" customHeight="false" outlineLevel="0" collapsed="false">
      <c r="A1" s="17" t="s">
        <v>405</v>
      </c>
    </row>
    <row r="2" customFormat="false" ht="30" hidden="false" customHeight="true" outlineLevel="0" collapsed="false">
      <c r="A2" s="18" t="s">
        <v>406</v>
      </c>
      <c r="B2" s="18"/>
      <c r="C2" s="18"/>
      <c r="D2" s="18"/>
    </row>
    <row r="3" customFormat="false" ht="15" hidden="false" customHeight="false" outlineLevel="0" collapsed="false">
      <c r="A3" s="18"/>
      <c r="B3" s="18"/>
      <c r="C3" s="18"/>
      <c r="D3" s="18"/>
    </row>
    <row r="5" customFormat="false" ht="15" hidden="false" customHeight="false" outlineLevel="0" collapsed="false">
      <c r="A5" s="19" t="s">
        <v>407</v>
      </c>
      <c r="B5" s="19" t="s">
        <v>408</v>
      </c>
      <c r="C5" s="19" t="s">
        <v>409</v>
      </c>
      <c r="D5" s="19" t="s">
        <v>410</v>
      </c>
    </row>
    <row r="6" customFormat="false" ht="60" hidden="false" customHeight="true" outlineLevel="0" collapsed="false">
      <c r="A6" s="20" t="s">
        <v>411</v>
      </c>
      <c r="B6" s="6" t="s">
        <v>412</v>
      </c>
      <c r="C6" s="6" t="s">
        <v>413</v>
      </c>
      <c r="D6" s="6" t="s">
        <v>414</v>
      </c>
    </row>
    <row r="7" customFormat="false" ht="60" hidden="false" customHeight="true" outlineLevel="0" collapsed="false">
      <c r="A7" s="20" t="s">
        <v>415</v>
      </c>
      <c r="B7" s="6" t="s">
        <v>416</v>
      </c>
      <c r="C7" s="6" t="s">
        <v>417</v>
      </c>
      <c r="D7" s="6" t="s">
        <v>418</v>
      </c>
    </row>
    <row r="8" customFormat="false" ht="60" hidden="false" customHeight="true" outlineLevel="0" collapsed="false">
      <c r="A8" s="20" t="s">
        <v>419</v>
      </c>
      <c r="B8" s="6" t="s">
        <v>420</v>
      </c>
      <c r="C8" s="6" t="s">
        <v>421</v>
      </c>
      <c r="D8" s="6" t="s">
        <v>422</v>
      </c>
    </row>
    <row r="9" customFormat="false" ht="60" hidden="false" customHeight="true" outlineLevel="0" collapsed="false">
      <c r="A9" s="20" t="s">
        <v>423</v>
      </c>
      <c r="B9" s="6" t="s">
        <v>424</v>
      </c>
      <c r="C9" s="6" t="s">
        <v>425</v>
      </c>
      <c r="D9" s="6" t="s">
        <v>426</v>
      </c>
    </row>
    <row r="10" customFormat="false" ht="60" hidden="false" customHeight="true" outlineLevel="0" collapsed="false">
      <c r="A10" s="20" t="s">
        <v>427</v>
      </c>
      <c r="B10" s="6" t="s">
        <v>428</v>
      </c>
      <c r="C10" s="6" t="s">
        <v>429</v>
      </c>
      <c r="D10" s="6" t="s">
        <v>430</v>
      </c>
    </row>
    <row r="11" customFormat="false" ht="60" hidden="false" customHeight="true" outlineLevel="0" collapsed="false">
      <c r="A11" s="20" t="s">
        <v>431</v>
      </c>
      <c r="B11" s="6" t="s">
        <v>432</v>
      </c>
      <c r="C11" s="6" t="s">
        <v>433</v>
      </c>
      <c r="D11" s="6" t="s">
        <v>434</v>
      </c>
    </row>
    <row r="12" customFormat="false" ht="60" hidden="false" customHeight="true" outlineLevel="0" collapsed="false">
      <c r="A12" s="20" t="s">
        <v>435</v>
      </c>
      <c r="B12" s="6" t="s">
        <v>436</v>
      </c>
      <c r="C12" s="6" t="s">
        <v>437</v>
      </c>
      <c r="D12" s="6" t="s">
        <v>438</v>
      </c>
    </row>
    <row r="14" customFormat="false" ht="15" hidden="false" customHeight="false" outlineLevel="0" collapsed="false">
      <c r="A14" s="21" t="s">
        <v>439</v>
      </c>
    </row>
    <row r="15" customFormat="false" ht="31.5" hidden="false" customHeight="true" outlineLevel="0" collapsed="false">
      <c r="A15" s="22" t="s">
        <v>440</v>
      </c>
      <c r="B15" s="22"/>
      <c r="C15" s="22"/>
      <c r="D15" s="22"/>
    </row>
    <row r="16" customFormat="false" ht="31.5" hidden="false" customHeight="true" outlineLevel="0" collapsed="false">
      <c r="A16" s="22" t="s">
        <v>441</v>
      </c>
      <c r="B16" s="22"/>
      <c r="C16" s="22"/>
      <c r="D16" s="22"/>
    </row>
    <row r="17" customFormat="false" ht="31.5" hidden="false" customHeight="true" outlineLevel="0" collapsed="false">
      <c r="A17" s="22" t="s">
        <v>442</v>
      </c>
      <c r="B17" s="22"/>
      <c r="C17" s="22"/>
      <c r="D17" s="22"/>
    </row>
    <row r="18" customFormat="false" ht="31.5" hidden="false" customHeight="true" outlineLevel="0" collapsed="false">
      <c r="A18" s="22" t="s">
        <v>443</v>
      </c>
      <c r="B18" s="22"/>
      <c r="C18" s="22"/>
      <c r="D18" s="22"/>
    </row>
    <row r="19" customFormat="false" ht="31.5" hidden="false" customHeight="true" outlineLevel="0" collapsed="false">
      <c r="A19" s="22" t="s">
        <v>444</v>
      </c>
      <c r="B19" s="22"/>
      <c r="C19" s="22"/>
      <c r="D19" s="22"/>
    </row>
    <row r="20" customFormat="false" ht="31.5" hidden="false" customHeight="true" outlineLevel="0" collapsed="false">
      <c r="A20" s="22" t="s">
        <v>445</v>
      </c>
      <c r="B20" s="22"/>
      <c r="C20" s="22"/>
      <c r="D20" s="22"/>
    </row>
  </sheetData>
  <mergeCells count="7">
    <mergeCell ref="A2:D3"/>
    <mergeCell ref="A15:D15"/>
    <mergeCell ref="A16:D16"/>
    <mergeCell ref="A17:D17"/>
    <mergeCell ref="A18:D18"/>
    <mergeCell ref="A19:D19"/>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
    <col collapsed="false" customWidth="true" hidden="false" outlineLevel="0" max="3" min="3" style="0" width="13"/>
    <col collapsed="false" customWidth="true" hidden="false" outlineLevel="0" max="4" min="4" style="0" width="16"/>
    <col collapsed="false" customWidth="true" hidden="false" outlineLevel="0" max="5" min="5" style="0" width="13"/>
    <col collapsed="false" customWidth="true" hidden="false" outlineLevel="0" max="6" min="6" style="0" width="24"/>
    <col collapsed="false" customWidth="true" hidden="false" outlineLevel="0" max="12" min="7" style="0" width="5"/>
    <col collapsed="false" customWidth="true" hidden="false" outlineLevel="0" max="13" min="13" style="0" width="7"/>
    <col collapsed="false" customWidth="true" hidden="false" outlineLevel="0" max="14" min="14" style="0" width="6"/>
    <col collapsed="false" customWidth="true" hidden="false" outlineLevel="0" max="15" min="15" style="0" width="8"/>
    <col collapsed="false" customWidth="true" hidden="false" outlineLevel="0" max="16" min="16" style="0" width="10"/>
    <col collapsed="false" customWidth="true" hidden="false" outlineLevel="0" max="17" min="17" style="0" width="11"/>
    <col collapsed="false" customWidth="true" hidden="false" outlineLevel="0" max="18" min="18" style="0" width="90"/>
  </cols>
  <sheetData>
    <row r="1" customFormat="false" ht="52.2" hidden="false" customHeight="false" outlineLevel="0" collapsed="false">
      <c r="A1" s="19" t="s">
        <v>446</v>
      </c>
      <c r="B1" s="19" t="s">
        <v>447</v>
      </c>
      <c r="C1" s="19" t="s">
        <v>177</v>
      </c>
      <c r="D1" s="19" t="s">
        <v>178</v>
      </c>
      <c r="E1" s="19" t="s">
        <v>448</v>
      </c>
      <c r="F1" s="19" t="s">
        <v>449</v>
      </c>
      <c r="G1" s="19" t="s">
        <v>450</v>
      </c>
      <c r="H1" s="19" t="s">
        <v>451</v>
      </c>
      <c r="I1" s="19" t="s">
        <v>452</v>
      </c>
      <c r="J1" s="19" t="s">
        <v>453</v>
      </c>
      <c r="K1" s="19" t="s">
        <v>454</v>
      </c>
      <c r="L1" s="19" t="s">
        <v>455</v>
      </c>
      <c r="M1" s="19" t="s">
        <v>456</v>
      </c>
      <c r="N1" s="19" t="s">
        <v>457</v>
      </c>
      <c r="O1" s="19" t="s">
        <v>458</v>
      </c>
      <c r="P1" s="19" t="s">
        <v>459</v>
      </c>
      <c r="Q1" s="19" t="s">
        <v>460</v>
      </c>
      <c r="R1" s="19" t="s">
        <v>461</v>
      </c>
    </row>
    <row r="2" customFormat="false" ht="26.85" hidden="false" customHeight="false" outlineLevel="0" collapsed="false">
      <c r="A2" s="23" t="s">
        <v>25</v>
      </c>
      <c r="B2" s="23" t="n">
        <v>1</v>
      </c>
      <c r="C2" s="23" t="s">
        <v>462</v>
      </c>
      <c r="D2" s="23" t="s">
        <v>188</v>
      </c>
      <c r="E2" s="23" t="s">
        <v>463</v>
      </c>
      <c r="F2" s="6" t="s">
        <v>464</v>
      </c>
      <c r="G2" s="24" t="n">
        <v>2</v>
      </c>
      <c r="H2" s="24" t="n">
        <v>2</v>
      </c>
      <c r="I2" s="24" t="s">
        <v>465</v>
      </c>
      <c r="J2" s="24" t="s">
        <v>465</v>
      </c>
      <c r="K2" s="24" t="s">
        <v>465</v>
      </c>
      <c r="L2" s="24" t="n">
        <v>2</v>
      </c>
      <c r="M2" s="25" t="n">
        <f aca="false">SUM(G2:L2)</f>
        <v>6</v>
      </c>
      <c r="N2" s="25" t="n">
        <f aca="false">IF(E2="Vulnerable",12,6)</f>
        <v>6</v>
      </c>
      <c r="O2" s="26" t="n">
        <f aca="false">M2/N2</f>
        <v>1</v>
      </c>
      <c r="P2" s="25" t="s">
        <v>466</v>
      </c>
      <c r="Q2" s="25" t="s">
        <v>466</v>
      </c>
      <c r="R2" s="6" t="s">
        <v>467</v>
      </c>
    </row>
    <row r="3" customFormat="false" ht="15" hidden="false" customHeight="false" outlineLevel="0" collapsed="false">
      <c r="A3" s="23" t="s">
        <v>25</v>
      </c>
      <c r="B3" s="23" t="n">
        <v>2</v>
      </c>
      <c r="C3" s="23" t="s">
        <v>468</v>
      </c>
      <c r="D3" s="23" t="s">
        <v>197</v>
      </c>
      <c r="E3" s="23" t="s">
        <v>463</v>
      </c>
      <c r="F3" s="6" t="s">
        <v>469</v>
      </c>
      <c r="G3" s="24" t="n">
        <v>2</v>
      </c>
      <c r="H3" s="24" t="n">
        <v>2</v>
      </c>
      <c r="I3" s="24" t="s">
        <v>465</v>
      </c>
      <c r="J3" s="24" t="s">
        <v>465</v>
      </c>
      <c r="K3" s="24" t="s">
        <v>465</v>
      </c>
      <c r="L3" s="24" t="n">
        <v>2</v>
      </c>
      <c r="M3" s="25" t="n">
        <f aca="false">SUM(G3:L3)</f>
        <v>6</v>
      </c>
      <c r="N3" s="25" t="n">
        <f aca="false">IF(E3="Vulnerable",12,6)</f>
        <v>6</v>
      </c>
      <c r="O3" s="26" t="n">
        <f aca="false">M3/N3</f>
        <v>1</v>
      </c>
      <c r="P3" s="25" t="s">
        <v>466</v>
      </c>
      <c r="Q3" s="25" t="s">
        <v>466</v>
      </c>
      <c r="R3" s="6" t="s">
        <v>470</v>
      </c>
    </row>
    <row r="4" customFormat="false" ht="26.85" hidden="false" customHeight="false" outlineLevel="0" collapsed="false">
      <c r="A4" s="23" t="s">
        <v>25</v>
      </c>
      <c r="B4" s="23" t="n">
        <v>3</v>
      </c>
      <c r="C4" s="23" t="s">
        <v>471</v>
      </c>
      <c r="D4" s="23" t="s">
        <v>197</v>
      </c>
      <c r="E4" s="23" t="s">
        <v>463</v>
      </c>
      <c r="F4" s="6" t="s">
        <v>464</v>
      </c>
      <c r="G4" s="24" t="n">
        <v>2</v>
      </c>
      <c r="H4" s="24" t="n">
        <v>2</v>
      </c>
      <c r="I4" s="24" t="s">
        <v>465</v>
      </c>
      <c r="J4" s="24" t="s">
        <v>465</v>
      </c>
      <c r="K4" s="24" t="s">
        <v>465</v>
      </c>
      <c r="L4" s="24" t="n">
        <v>2</v>
      </c>
      <c r="M4" s="25" t="n">
        <f aca="false">SUM(G4:L4)</f>
        <v>6</v>
      </c>
      <c r="N4" s="25" t="n">
        <f aca="false">IF(E4="Vulnerable",12,6)</f>
        <v>6</v>
      </c>
      <c r="O4" s="26" t="n">
        <f aca="false">M4/N4</f>
        <v>1</v>
      </c>
      <c r="P4" s="25" t="s">
        <v>466</v>
      </c>
      <c r="Q4" s="25" t="s">
        <v>466</v>
      </c>
      <c r="R4" s="6" t="s">
        <v>472</v>
      </c>
    </row>
    <row r="5" customFormat="false" ht="26.85" hidden="false" customHeight="false" outlineLevel="0" collapsed="false">
      <c r="A5" s="23" t="s">
        <v>38</v>
      </c>
      <c r="B5" s="23" t="n">
        <v>1</v>
      </c>
      <c r="C5" s="23" t="s">
        <v>473</v>
      </c>
      <c r="D5" s="23" t="s">
        <v>188</v>
      </c>
      <c r="E5" s="23" t="s">
        <v>41</v>
      </c>
      <c r="F5" s="6" t="s">
        <v>474</v>
      </c>
      <c r="G5" s="24" t="n">
        <v>2</v>
      </c>
      <c r="H5" s="24" t="n">
        <v>2</v>
      </c>
      <c r="I5" s="24" t="n">
        <v>2</v>
      </c>
      <c r="J5" s="24" t="n">
        <v>2</v>
      </c>
      <c r="K5" s="24" t="n">
        <v>2</v>
      </c>
      <c r="L5" s="24" t="n">
        <v>2</v>
      </c>
      <c r="M5" s="25" t="n">
        <f aca="false">SUM(G5:L5)</f>
        <v>12</v>
      </c>
      <c r="N5" s="25" t="n">
        <f aca="false">IF(E5="Vulnerable",12,6)</f>
        <v>12</v>
      </c>
      <c r="O5" s="26" t="n">
        <f aca="false">M5/N5</f>
        <v>1</v>
      </c>
      <c r="P5" s="25" t="s">
        <v>466</v>
      </c>
      <c r="Q5" s="25" t="s">
        <v>466</v>
      </c>
      <c r="R5" s="6" t="s">
        <v>475</v>
      </c>
    </row>
    <row r="6" customFormat="false" ht="15" hidden="false" customHeight="false" outlineLevel="0" collapsed="false">
      <c r="A6" s="23" t="s">
        <v>38</v>
      </c>
      <c r="B6" s="23" t="n">
        <v>2</v>
      </c>
      <c r="C6" s="23" t="s">
        <v>476</v>
      </c>
      <c r="D6" s="23" t="s">
        <v>197</v>
      </c>
      <c r="E6" s="23" t="s">
        <v>41</v>
      </c>
      <c r="F6" s="6" t="s">
        <v>474</v>
      </c>
      <c r="G6" s="24" t="n">
        <v>2</v>
      </c>
      <c r="H6" s="24" t="n">
        <v>2</v>
      </c>
      <c r="I6" s="24" t="n">
        <v>2</v>
      </c>
      <c r="J6" s="24" t="n">
        <v>2</v>
      </c>
      <c r="K6" s="24" t="n">
        <v>2</v>
      </c>
      <c r="L6" s="24" t="n">
        <v>2</v>
      </c>
      <c r="M6" s="25" t="n">
        <f aca="false">SUM(G6:L6)</f>
        <v>12</v>
      </c>
      <c r="N6" s="25" t="n">
        <f aca="false">IF(E6="Vulnerable",12,6)</f>
        <v>12</v>
      </c>
      <c r="O6" s="26" t="n">
        <f aca="false">M6/N6</f>
        <v>1</v>
      </c>
      <c r="P6" s="25" t="s">
        <v>466</v>
      </c>
      <c r="Q6" s="25" t="s">
        <v>466</v>
      </c>
      <c r="R6" s="6" t="s">
        <v>477</v>
      </c>
    </row>
    <row r="7" customFormat="false" ht="15" hidden="false" customHeight="false" outlineLevel="0" collapsed="false">
      <c r="A7" s="23" t="s">
        <v>38</v>
      </c>
      <c r="B7" s="23" t="n">
        <v>3</v>
      </c>
      <c r="C7" s="23" t="s">
        <v>478</v>
      </c>
      <c r="D7" s="23" t="s">
        <v>197</v>
      </c>
      <c r="E7" s="23" t="s">
        <v>41</v>
      </c>
      <c r="F7" s="6" t="s">
        <v>474</v>
      </c>
      <c r="G7" s="24" t="n">
        <v>2</v>
      </c>
      <c r="H7" s="24" t="n">
        <v>2</v>
      </c>
      <c r="I7" s="24" t="n">
        <v>2</v>
      </c>
      <c r="J7" s="24" t="n">
        <v>2</v>
      </c>
      <c r="K7" s="24" t="n">
        <v>2</v>
      </c>
      <c r="L7" s="24" t="n">
        <v>2</v>
      </c>
      <c r="M7" s="25" t="n">
        <f aca="false">SUM(G7:L7)</f>
        <v>12</v>
      </c>
      <c r="N7" s="25" t="n">
        <f aca="false">IF(E7="Vulnerable",12,6)</f>
        <v>12</v>
      </c>
      <c r="O7" s="26" t="n">
        <f aca="false">M7/N7</f>
        <v>1</v>
      </c>
      <c r="P7" s="25" t="s">
        <v>466</v>
      </c>
      <c r="Q7" s="25" t="s">
        <v>466</v>
      </c>
      <c r="R7" s="6" t="s">
        <v>477</v>
      </c>
    </row>
    <row r="8" customFormat="false" ht="26.85" hidden="false" customHeight="false" outlineLevel="0" collapsed="false">
      <c r="A8" s="23" t="s">
        <v>51</v>
      </c>
      <c r="B8" s="23" t="n">
        <v>1</v>
      </c>
      <c r="C8" s="23" t="s">
        <v>479</v>
      </c>
      <c r="D8" s="23" t="s">
        <v>188</v>
      </c>
      <c r="E8" s="23" t="s">
        <v>41</v>
      </c>
      <c r="F8" s="6" t="s">
        <v>474</v>
      </c>
      <c r="G8" s="24" t="n">
        <v>2</v>
      </c>
      <c r="H8" s="24" t="n">
        <v>2</v>
      </c>
      <c r="I8" s="24" t="n">
        <v>2</v>
      </c>
      <c r="J8" s="24" t="n">
        <v>2</v>
      </c>
      <c r="K8" s="24" t="n">
        <v>2</v>
      </c>
      <c r="L8" s="24" t="n">
        <v>2</v>
      </c>
      <c r="M8" s="25" t="n">
        <f aca="false">SUM(G8:L8)</f>
        <v>12</v>
      </c>
      <c r="N8" s="25" t="n">
        <f aca="false">IF(E8="Vulnerable",12,6)</f>
        <v>12</v>
      </c>
      <c r="O8" s="26" t="n">
        <f aca="false">M8/N8</f>
        <v>1</v>
      </c>
      <c r="P8" s="25" t="s">
        <v>466</v>
      </c>
      <c r="Q8" s="25" t="s">
        <v>466</v>
      </c>
      <c r="R8" s="6" t="s">
        <v>480</v>
      </c>
    </row>
    <row r="9" customFormat="false" ht="15" hidden="false" customHeight="false" outlineLevel="0" collapsed="false">
      <c r="A9" s="23" t="s">
        <v>51</v>
      </c>
      <c r="B9" s="23" t="n">
        <v>2</v>
      </c>
      <c r="C9" s="23" t="s">
        <v>481</v>
      </c>
      <c r="D9" s="23" t="s">
        <v>197</v>
      </c>
      <c r="E9" s="23" t="s">
        <v>41</v>
      </c>
      <c r="F9" s="6" t="s">
        <v>474</v>
      </c>
      <c r="G9" s="24" t="n">
        <v>2</v>
      </c>
      <c r="H9" s="24" t="n">
        <v>2</v>
      </c>
      <c r="I9" s="24" t="n">
        <v>2</v>
      </c>
      <c r="J9" s="24" t="n">
        <v>2</v>
      </c>
      <c r="K9" s="24" t="n">
        <v>2</v>
      </c>
      <c r="L9" s="24" t="n">
        <v>2</v>
      </c>
      <c r="M9" s="25" t="n">
        <f aca="false">SUM(G9:L9)</f>
        <v>12</v>
      </c>
      <c r="N9" s="25" t="n">
        <f aca="false">IF(E9="Vulnerable",12,6)</f>
        <v>12</v>
      </c>
      <c r="O9" s="26" t="n">
        <f aca="false">M9/N9</f>
        <v>1</v>
      </c>
      <c r="P9" s="25" t="s">
        <v>466</v>
      </c>
      <c r="Q9" s="25" t="s">
        <v>466</v>
      </c>
      <c r="R9" s="6" t="s">
        <v>482</v>
      </c>
    </row>
    <row r="10" customFormat="false" ht="26.85" hidden="false" customHeight="false" outlineLevel="0" collapsed="false">
      <c r="A10" s="23" t="s">
        <v>51</v>
      </c>
      <c r="B10" s="23" t="n">
        <v>3</v>
      </c>
      <c r="C10" s="23" t="s">
        <v>483</v>
      </c>
      <c r="D10" s="23" t="s">
        <v>197</v>
      </c>
      <c r="E10" s="23" t="s">
        <v>41</v>
      </c>
      <c r="F10" s="6" t="s">
        <v>474</v>
      </c>
      <c r="G10" s="24" t="n">
        <v>2</v>
      </c>
      <c r="H10" s="24" t="n">
        <v>2</v>
      </c>
      <c r="I10" s="24" t="n">
        <v>2</v>
      </c>
      <c r="J10" s="24" t="n">
        <v>2</v>
      </c>
      <c r="K10" s="24" t="n">
        <v>2</v>
      </c>
      <c r="L10" s="24" t="n">
        <v>1</v>
      </c>
      <c r="M10" s="25" t="n">
        <f aca="false">SUM(G10:L10)</f>
        <v>11</v>
      </c>
      <c r="N10" s="25" t="n">
        <f aca="false">IF(E10="Vulnerable",12,6)</f>
        <v>12</v>
      </c>
      <c r="O10" s="26" t="n">
        <f aca="false">M10/N10</f>
        <v>0.916666666666667</v>
      </c>
      <c r="P10" s="25" t="s">
        <v>466</v>
      </c>
      <c r="Q10" s="25" t="s">
        <v>484</v>
      </c>
      <c r="R10" s="6" t="s">
        <v>485</v>
      </c>
    </row>
    <row r="11" customFormat="false" ht="26.85" hidden="false" customHeight="false" outlineLevel="0" collapsed="false">
      <c r="A11" s="23" t="s">
        <v>61</v>
      </c>
      <c r="B11" s="23" t="n">
        <v>1</v>
      </c>
      <c r="C11" s="23" t="s">
        <v>486</v>
      </c>
      <c r="D11" s="23" t="s">
        <v>188</v>
      </c>
      <c r="E11" s="23" t="s">
        <v>41</v>
      </c>
      <c r="F11" s="6" t="s">
        <v>474</v>
      </c>
      <c r="G11" s="24" t="n">
        <v>2</v>
      </c>
      <c r="H11" s="24" t="n">
        <v>2</v>
      </c>
      <c r="I11" s="24" t="n">
        <v>1</v>
      </c>
      <c r="J11" s="24" t="n">
        <v>1</v>
      </c>
      <c r="K11" s="24" t="n">
        <v>2</v>
      </c>
      <c r="L11" s="24" t="n">
        <v>2</v>
      </c>
      <c r="M11" s="25" t="n">
        <f aca="false">SUM(G11:L11)</f>
        <v>10</v>
      </c>
      <c r="N11" s="25" t="n">
        <f aca="false">IF(E11="Vulnerable",12,6)</f>
        <v>12</v>
      </c>
      <c r="O11" s="26" t="n">
        <f aca="false">M11/N11</f>
        <v>0.833333333333333</v>
      </c>
      <c r="P11" s="25" t="s">
        <v>466</v>
      </c>
      <c r="Q11" s="25" t="s">
        <v>466</v>
      </c>
      <c r="R11" s="6" t="s">
        <v>487</v>
      </c>
    </row>
    <row r="12" customFormat="false" ht="15" hidden="false" customHeight="false" outlineLevel="0" collapsed="false">
      <c r="A12" s="23" t="s">
        <v>61</v>
      </c>
      <c r="B12" s="23" t="n">
        <v>2</v>
      </c>
      <c r="C12" s="23" t="s">
        <v>488</v>
      </c>
      <c r="D12" s="23" t="s">
        <v>197</v>
      </c>
      <c r="E12" s="23" t="s">
        <v>41</v>
      </c>
      <c r="F12" s="6" t="s">
        <v>474</v>
      </c>
      <c r="G12" s="24" t="n">
        <v>2</v>
      </c>
      <c r="H12" s="24" t="n">
        <v>2</v>
      </c>
      <c r="I12" s="24" t="n">
        <v>1</v>
      </c>
      <c r="J12" s="24" t="n">
        <v>1</v>
      </c>
      <c r="K12" s="24" t="n">
        <v>2</v>
      </c>
      <c r="L12" s="24" t="n">
        <v>2</v>
      </c>
      <c r="M12" s="25" t="n">
        <f aca="false">SUM(G12:L12)</f>
        <v>10</v>
      </c>
      <c r="N12" s="25" t="n">
        <f aca="false">IF(E12="Vulnerable",12,6)</f>
        <v>12</v>
      </c>
      <c r="O12" s="26" t="n">
        <f aca="false">M12/N12</f>
        <v>0.833333333333333</v>
      </c>
      <c r="P12" s="25" t="s">
        <v>466</v>
      </c>
      <c r="Q12" s="25" t="s">
        <v>466</v>
      </c>
      <c r="R12" s="6" t="s">
        <v>489</v>
      </c>
    </row>
    <row r="13" customFormat="false" ht="15" hidden="false" customHeight="false" outlineLevel="0" collapsed="false">
      <c r="A13" s="23" t="s">
        <v>61</v>
      </c>
      <c r="B13" s="23" t="n">
        <v>3</v>
      </c>
      <c r="C13" s="23" t="s">
        <v>490</v>
      </c>
      <c r="D13" s="23" t="s">
        <v>197</v>
      </c>
      <c r="E13" s="23" t="s">
        <v>41</v>
      </c>
      <c r="F13" s="6" t="s">
        <v>474</v>
      </c>
      <c r="G13" s="24" t="n">
        <v>2</v>
      </c>
      <c r="H13" s="24" t="n">
        <v>2</v>
      </c>
      <c r="I13" s="24" t="n">
        <v>1</v>
      </c>
      <c r="J13" s="24" t="n">
        <v>1</v>
      </c>
      <c r="K13" s="24" t="n">
        <v>2</v>
      </c>
      <c r="L13" s="24" t="n">
        <v>2</v>
      </c>
      <c r="M13" s="25" t="n">
        <f aca="false">SUM(G13:L13)</f>
        <v>10</v>
      </c>
      <c r="N13" s="25" t="n">
        <f aca="false">IF(E13="Vulnerable",12,6)</f>
        <v>12</v>
      </c>
      <c r="O13" s="26" t="n">
        <f aca="false">M13/N13</f>
        <v>0.833333333333333</v>
      </c>
      <c r="P13" s="25" t="s">
        <v>466</v>
      </c>
      <c r="Q13" s="25" t="s">
        <v>466</v>
      </c>
      <c r="R13" s="6" t="s">
        <v>482</v>
      </c>
    </row>
    <row r="14" customFormat="false" ht="26.85" hidden="false" customHeight="false" outlineLevel="0" collapsed="false">
      <c r="A14" s="23" t="s">
        <v>71</v>
      </c>
      <c r="B14" s="23" t="n">
        <v>1</v>
      </c>
      <c r="C14" s="23" t="s">
        <v>491</v>
      </c>
      <c r="D14" s="23" t="s">
        <v>188</v>
      </c>
      <c r="E14" s="23" t="s">
        <v>41</v>
      </c>
      <c r="F14" s="6" t="s">
        <v>474</v>
      </c>
      <c r="G14" s="24" t="n">
        <v>2</v>
      </c>
      <c r="H14" s="24" t="n">
        <v>2</v>
      </c>
      <c r="I14" s="24" t="n">
        <v>2</v>
      </c>
      <c r="J14" s="24" t="n">
        <v>2</v>
      </c>
      <c r="K14" s="24" t="n">
        <v>2</v>
      </c>
      <c r="L14" s="24" t="n">
        <v>2</v>
      </c>
      <c r="M14" s="25" t="n">
        <f aca="false">SUM(G14:L14)</f>
        <v>12</v>
      </c>
      <c r="N14" s="25" t="n">
        <f aca="false">IF(E14="Vulnerable",12,6)</f>
        <v>12</v>
      </c>
      <c r="O14" s="26" t="n">
        <f aca="false">M14/N14</f>
        <v>1</v>
      </c>
      <c r="P14" s="25" t="s">
        <v>466</v>
      </c>
      <c r="Q14" s="25" t="s">
        <v>466</v>
      </c>
      <c r="R14" s="6" t="s">
        <v>492</v>
      </c>
    </row>
    <row r="15" customFormat="false" ht="15" hidden="false" customHeight="false" outlineLevel="0" collapsed="false">
      <c r="A15" s="23" t="s">
        <v>71</v>
      </c>
      <c r="B15" s="23" t="n">
        <v>2</v>
      </c>
      <c r="C15" s="23" t="s">
        <v>493</v>
      </c>
      <c r="D15" s="23" t="s">
        <v>197</v>
      </c>
      <c r="E15" s="23" t="s">
        <v>41</v>
      </c>
      <c r="F15" s="6" t="s">
        <v>474</v>
      </c>
      <c r="G15" s="24" t="n">
        <v>2</v>
      </c>
      <c r="H15" s="24" t="n">
        <v>2</v>
      </c>
      <c r="I15" s="24" t="n">
        <v>2</v>
      </c>
      <c r="J15" s="24" t="n">
        <v>2</v>
      </c>
      <c r="K15" s="24" t="n">
        <v>2</v>
      </c>
      <c r="L15" s="24" t="n">
        <v>2</v>
      </c>
      <c r="M15" s="25" t="n">
        <f aca="false">SUM(G15:L15)</f>
        <v>12</v>
      </c>
      <c r="N15" s="25" t="n">
        <f aca="false">IF(E15="Vulnerable",12,6)</f>
        <v>12</v>
      </c>
      <c r="O15" s="26" t="n">
        <f aca="false">M15/N15</f>
        <v>1</v>
      </c>
      <c r="P15" s="25" t="s">
        <v>466</v>
      </c>
      <c r="Q15" s="25" t="s">
        <v>466</v>
      </c>
      <c r="R15" s="6" t="s">
        <v>482</v>
      </c>
    </row>
    <row r="16" customFormat="false" ht="15" hidden="false" customHeight="false" outlineLevel="0" collapsed="false">
      <c r="A16" s="23" t="s">
        <v>71</v>
      </c>
      <c r="B16" s="23" t="n">
        <v>3</v>
      </c>
      <c r="C16" s="23" t="s">
        <v>494</v>
      </c>
      <c r="D16" s="23" t="s">
        <v>197</v>
      </c>
      <c r="E16" s="23" t="s">
        <v>41</v>
      </c>
      <c r="F16" s="6" t="s">
        <v>474</v>
      </c>
      <c r="G16" s="24" t="n">
        <v>2</v>
      </c>
      <c r="H16" s="24" t="n">
        <v>2</v>
      </c>
      <c r="I16" s="24" t="n">
        <v>2</v>
      </c>
      <c r="J16" s="24" t="n">
        <v>2</v>
      </c>
      <c r="K16" s="24" t="n">
        <v>2</v>
      </c>
      <c r="L16" s="24" t="n">
        <v>2</v>
      </c>
      <c r="M16" s="25" t="n">
        <f aca="false">SUM(G16:L16)</f>
        <v>12</v>
      </c>
      <c r="N16" s="25" t="n">
        <f aca="false">IF(E16="Vulnerable",12,6)</f>
        <v>12</v>
      </c>
      <c r="O16" s="26" t="n">
        <f aca="false">M16/N16</f>
        <v>1</v>
      </c>
      <c r="P16" s="25" t="s">
        <v>466</v>
      </c>
      <c r="Q16" s="25" t="s">
        <v>466</v>
      </c>
      <c r="R16" s="6" t="s">
        <v>495</v>
      </c>
    </row>
    <row r="17" customFormat="false" ht="26.85" hidden="false" customHeight="false" outlineLevel="0" collapsed="false">
      <c r="A17" s="23" t="s">
        <v>80</v>
      </c>
      <c r="B17" s="23" t="n">
        <v>1</v>
      </c>
      <c r="C17" s="23" t="s">
        <v>496</v>
      </c>
      <c r="D17" s="23" t="s">
        <v>188</v>
      </c>
      <c r="E17" s="23" t="s">
        <v>41</v>
      </c>
      <c r="F17" s="6" t="s">
        <v>474</v>
      </c>
      <c r="G17" s="24" t="n">
        <v>2</v>
      </c>
      <c r="H17" s="24" t="n">
        <v>2</v>
      </c>
      <c r="I17" s="24" t="n">
        <v>2</v>
      </c>
      <c r="J17" s="24" t="n">
        <v>2</v>
      </c>
      <c r="K17" s="24" t="n">
        <v>2</v>
      </c>
      <c r="L17" s="24" t="n">
        <v>2</v>
      </c>
      <c r="M17" s="25" t="n">
        <f aca="false">SUM(G17:L17)</f>
        <v>12</v>
      </c>
      <c r="N17" s="25" t="n">
        <f aca="false">IF(E17="Vulnerable",12,6)</f>
        <v>12</v>
      </c>
      <c r="O17" s="26" t="n">
        <f aca="false">M17/N17</f>
        <v>1</v>
      </c>
      <c r="P17" s="25" t="s">
        <v>466</v>
      </c>
      <c r="Q17" s="25" t="s">
        <v>466</v>
      </c>
      <c r="R17" s="6" t="s">
        <v>497</v>
      </c>
    </row>
    <row r="18" customFormat="false" ht="15" hidden="false" customHeight="false" outlineLevel="0" collapsed="false">
      <c r="A18" s="23" t="s">
        <v>80</v>
      </c>
      <c r="B18" s="23" t="n">
        <v>2</v>
      </c>
      <c r="C18" s="23" t="s">
        <v>498</v>
      </c>
      <c r="D18" s="23" t="s">
        <v>197</v>
      </c>
      <c r="E18" s="23" t="s">
        <v>41</v>
      </c>
      <c r="F18" s="6" t="s">
        <v>474</v>
      </c>
      <c r="G18" s="24" t="n">
        <v>2</v>
      </c>
      <c r="H18" s="24" t="n">
        <v>2</v>
      </c>
      <c r="I18" s="24" t="n">
        <v>2</v>
      </c>
      <c r="J18" s="24" t="n">
        <v>2</v>
      </c>
      <c r="K18" s="24" t="n">
        <v>2</v>
      </c>
      <c r="L18" s="24" t="n">
        <v>2</v>
      </c>
      <c r="M18" s="25" t="n">
        <f aca="false">SUM(G18:L18)</f>
        <v>12</v>
      </c>
      <c r="N18" s="25" t="n">
        <f aca="false">IF(E18="Vulnerable",12,6)</f>
        <v>12</v>
      </c>
      <c r="O18" s="26" t="n">
        <f aca="false">M18/N18</f>
        <v>1</v>
      </c>
      <c r="P18" s="25" t="s">
        <v>466</v>
      </c>
      <c r="Q18" s="25" t="s">
        <v>466</v>
      </c>
      <c r="R18" s="6" t="s">
        <v>482</v>
      </c>
    </row>
    <row r="19" customFormat="false" ht="15" hidden="false" customHeight="false" outlineLevel="0" collapsed="false">
      <c r="A19" s="23" t="s">
        <v>80</v>
      </c>
      <c r="B19" s="23" t="n">
        <v>3</v>
      </c>
      <c r="C19" s="23" t="s">
        <v>499</v>
      </c>
      <c r="D19" s="23" t="s">
        <v>197</v>
      </c>
      <c r="E19" s="23" t="s">
        <v>41</v>
      </c>
      <c r="F19" s="6" t="s">
        <v>474</v>
      </c>
      <c r="G19" s="24" t="n">
        <v>2</v>
      </c>
      <c r="H19" s="24" t="n">
        <v>2</v>
      </c>
      <c r="I19" s="24" t="n">
        <v>2</v>
      </c>
      <c r="J19" s="24" t="n">
        <v>2</v>
      </c>
      <c r="K19" s="24" t="n">
        <v>2</v>
      </c>
      <c r="L19" s="24" t="n">
        <v>2</v>
      </c>
      <c r="M19" s="25" t="n">
        <f aca="false">SUM(G19:L19)</f>
        <v>12</v>
      </c>
      <c r="N19" s="25" t="n">
        <f aca="false">IF(E19="Vulnerable",12,6)</f>
        <v>12</v>
      </c>
      <c r="O19" s="26" t="n">
        <f aca="false">M19/N19</f>
        <v>1</v>
      </c>
      <c r="P19" s="25" t="s">
        <v>466</v>
      </c>
      <c r="Q19" s="25" t="s">
        <v>466</v>
      </c>
      <c r="R19" s="6" t="s">
        <v>482</v>
      </c>
    </row>
    <row r="20" customFormat="false" ht="39.55" hidden="false" customHeight="false" outlineLevel="0" collapsed="false">
      <c r="A20" s="23" t="s">
        <v>89</v>
      </c>
      <c r="B20" s="23" t="n">
        <v>1</v>
      </c>
      <c r="C20" s="23" t="s">
        <v>500</v>
      </c>
      <c r="D20" s="23" t="s">
        <v>188</v>
      </c>
      <c r="E20" s="23" t="s">
        <v>41</v>
      </c>
      <c r="F20" s="6" t="s">
        <v>474</v>
      </c>
      <c r="G20" s="24" t="n">
        <v>2</v>
      </c>
      <c r="H20" s="24" t="n">
        <v>1</v>
      </c>
      <c r="I20" s="24" t="n">
        <v>2</v>
      </c>
      <c r="J20" s="24" t="n">
        <v>2</v>
      </c>
      <c r="K20" s="24" t="n">
        <v>2</v>
      </c>
      <c r="L20" s="24" t="n">
        <v>2</v>
      </c>
      <c r="M20" s="25" t="n">
        <f aca="false">SUM(G20:L20)</f>
        <v>11</v>
      </c>
      <c r="N20" s="25" t="n">
        <f aca="false">IF(E20="Vulnerable",12,6)</f>
        <v>12</v>
      </c>
      <c r="O20" s="26" t="n">
        <f aca="false">M20/N20</f>
        <v>0.916666666666667</v>
      </c>
      <c r="P20" s="25" t="s">
        <v>484</v>
      </c>
      <c r="Q20" s="25" t="s">
        <v>466</v>
      </c>
      <c r="R20" s="6" t="s">
        <v>501</v>
      </c>
    </row>
    <row r="21" customFormat="false" ht="15" hidden="false" customHeight="false" outlineLevel="0" collapsed="false">
      <c r="A21" s="23" t="s">
        <v>89</v>
      </c>
      <c r="B21" s="23" t="n">
        <v>2</v>
      </c>
      <c r="C21" s="23" t="s">
        <v>502</v>
      </c>
      <c r="D21" s="23" t="s">
        <v>197</v>
      </c>
      <c r="E21" s="23" t="s">
        <v>41</v>
      </c>
      <c r="F21" s="6" t="s">
        <v>474</v>
      </c>
      <c r="G21" s="24" t="n">
        <v>2</v>
      </c>
      <c r="H21" s="24" t="n">
        <v>1</v>
      </c>
      <c r="I21" s="24" t="n">
        <v>2</v>
      </c>
      <c r="J21" s="24" t="n">
        <v>2</v>
      </c>
      <c r="K21" s="24" t="n">
        <v>2</v>
      </c>
      <c r="L21" s="24" t="n">
        <v>2</v>
      </c>
      <c r="M21" s="25" t="n">
        <f aca="false">SUM(G21:L21)</f>
        <v>11</v>
      </c>
      <c r="N21" s="25" t="n">
        <f aca="false">IF(E21="Vulnerable",12,6)</f>
        <v>12</v>
      </c>
      <c r="O21" s="26" t="n">
        <f aca="false">M21/N21</f>
        <v>0.916666666666667</v>
      </c>
      <c r="P21" s="25" t="s">
        <v>484</v>
      </c>
      <c r="Q21" s="25" t="s">
        <v>466</v>
      </c>
      <c r="R21" s="6" t="s">
        <v>503</v>
      </c>
    </row>
    <row r="22" customFormat="false" ht="15" hidden="false" customHeight="false" outlineLevel="0" collapsed="false">
      <c r="A22" s="23" t="s">
        <v>89</v>
      </c>
      <c r="B22" s="23" t="n">
        <v>3</v>
      </c>
      <c r="C22" s="23" t="s">
        <v>504</v>
      </c>
      <c r="D22" s="23" t="s">
        <v>197</v>
      </c>
      <c r="E22" s="23" t="s">
        <v>41</v>
      </c>
      <c r="F22" s="6" t="s">
        <v>474</v>
      </c>
      <c r="G22" s="24" t="n">
        <v>2</v>
      </c>
      <c r="H22" s="24" t="n">
        <v>1</v>
      </c>
      <c r="I22" s="24" t="n">
        <v>2</v>
      </c>
      <c r="J22" s="24" t="n">
        <v>2</v>
      </c>
      <c r="K22" s="24" t="n">
        <v>2</v>
      </c>
      <c r="L22" s="24" t="n">
        <v>2</v>
      </c>
      <c r="M22" s="25" t="n">
        <f aca="false">SUM(G22:L22)</f>
        <v>11</v>
      </c>
      <c r="N22" s="25" t="n">
        <f aca="false">IF(E22="Vulnerable",12,6)</f>
        <v>12</v>
      </c>
      <c r="O22" s="26" t="n">
        <f aca="false">M22/N22</f>
        <v>0.916666666666667</v>
      </c>
      <c r="P22" s="25" t="s">
        <v>484</v>
      </c>
      <c r="Q22" s="25" t="s">
        <v>466</v>
      </c>
      <c r="R22" s="6" t="s">
        <v>503</v>
      </c>
    </row>
    <row r="23" customFormat="false" ht="39.55" hidden="false" customHeight="false" outlineLevel="0" collapsed="false">
      <c r="A23" s="23" t="s">
        <v>99</v>
      </c>
      <c r="B23" s="23" t="n">
        <v>1</v>
      </c>
      <c r="C23" s="23" t="s">
        <v>505</v>
      </c>
      <c r="D23" s="23" t="s">
        <v>188</v>
      </c>
      <c r="E23" s="23" t="s">
        <v>41</v>
      </c>
      <c r="F23" s="6" t="s">
        <v>506</v>
      </c>
      <c r="G23" s="24" t="n">
        <v>0</v>
      </c>
      <c r="H23" s="24" t="n">
        <v>1</v>
      </c>
      <c r="I23" s="24" t="n">
        <v>1</v>
      </c>
      <c r="J23" s="24" t="n">
        <v>2</v>
      </c>
      <c r="K23" s="24" t="n">
        <v>1</v>
      </c>
      <c r="L23" s="24" t="n">
        <v>0</v>
      </c>
      <c r="M23" s="25" t="n">
        <f aca="false">SUM(G23:L23)</f>
        <v>5</v>
      </c>
      <c r="N23" s="25" t="n">
        <f aca="false">IF(E23="Vulnerable",12,6)</f>
        <v>12</v>
      </c>
      <c r="O23" s="26" t="n">
        <f aca="false">M23/N23</f>
        <v>0.416666666666667</v>
      </c>
      <c r="P23" s="25" t="s">
        <v>466</v>
      </c>
      <c r="Q23" s="25" t="s">
        <v>466</v>
      </c>
      <c r="R23" s="6" t="s">
        <v>507</v>
      </c>
    </row>
    <row r="24" customFormat="false" ht="26.85" hidden="false" customHeight="false" outlineLevel="0" collapsed="false">
      <c r="A24" s="23" t="s">
        <v>99</v>
      </c>
      <c r="B24" s="23" t="n">
        <v>2</v>
      </c>
      <c r="C24" s="23" t="s">
        <v>508</v>
      </c>
      <c r="D24" s="23" t="s">
        <v>197</v>
      </c>
      <c r="E24" s="23" t="s">
        <v>41</v>
      </c>
      <c r="F24" s="6" t="s">
        <v>509</v>
      </c>
      <c r="G24" s="24" t="n">
        <v>1</v>
      </c>
      <c r="H24" s="24" t="n">
        <v>2</v>
      </c>
      <c r="I24" s="24" t="n">
        <v>2</v>
      </c>
      <c r="J24" s="24" t="n">
        <v>2</v>
      </c>
      <c r="K24" s="24" t="n">
        <v>2</v>
      </c>
      <c r="L24" s="24" t="n">
        <v>0</v>
      </c>
      <c r="M24" s="25" t="n">
        <f aca="false">SUM(G24:L24)</f>
        <v>9</v>
      </c>
      <c r="N24" s="25" t="n">
        <f aca="false">IF(E24="Vulnerable",12,6)</f>
        <v>12</v>
      </c>
      <c r="O24" s="26" t="n">
        <f aca="false">M24/N24</f>
        <v>0.75</v>
      </c>
      <c r="P24" s="25" t="s">
        <v>466</v>
      </c>
      <c r="Q24" s="25" t="s">
        <v>466</v>
      </c>
      <c r="R24" s="6" t="s">
        <v>510</v>
      </c>
    </row>
    <row r="25" customFormat="false" ht="15" hidden="false" customHeight="false" outlineLevel="0" collapsed="false">
      <c r="A25" s="23" t="s">
        <v>99</v>
      </c>
      <c r="B25" s="23" t="n">
        <v>3</v>
      </c>
      <c r="C25" s="23" t="s">
        <v>511</v>
      </c>
      <c r="D25" s="23" t="s">
        <v>197</v>
      </c>
      <c r="E25" s="23" t="s">
        <v>41</v>
      </c>
      <c r="F25" s="6" t="s">
        <v>509</v>
      </c>
      <c r="G25" s="24" t="n">
        <v>1</v>
      </c>
      <c r="H25" s="24" t="n">
        <v>2</v>
      </c>
      <c r="I25" s="24" t="n">
        <v>2</v>
      </c>
      <c r="J25" s="24" t="n">
        <v>2</v>
      </c>
      <c r="K25" s="24" t="n">
        <v>2</v>
      </c>
      <c r="L25" s="24" t="n">
        <v>0</v>
      </c>
      <c r="M25" s="25" t="n">
        <f aca="false">SUM(G25:L25)</f>
        <v>9</v>
      </c>
      <c r="N25" s="25" t="n">
        <f aca="false">IF(E25="Vulnerable",12,6)</f>
        <v>12</v>
      </c>
      <c r="O25" s="26" t="n">
        <f aca="false">M25/N25</f>
        <v>0.75</v>
      </c>
      <c r="P25" s="25" t="s">
        <v>466</v>
      </c>
      <c r="Q25" s="25" t="s">
        <v>466</v>
      </c>
      <c r="R25" s="6" t="s">
        <v>512</v>
      </c>
    </row>
    <row r="26" customFormat="false" ht="26.85" hidden="false" customHeight="false" outlineLevel="0" collapsed="false">
      <c r="A26" s="23" t="s">
        <v>99</v>
      </c>
      <c r="B26" s="23" t="n">
        <v>4</v>
      </c>
      <c r="C26" s="23" t="s">
        <v>513</v>
      </c>
      <c r="D26" s="23" t="s">
        <v>197</v>
      </c>
      <c r="E26" s="23" t="s">
        <v>41</v>
      </c>
      <c r="F26" s="6" t="s">
        <v>474</v>
      </c>
      <c r="G26" s="24" t="n">
        <v>2</v>
      </c>
      <c r="H26" s="24" t="n">
        <v>2</v>
      </c>
      <c r="I26" s="24" t="n">
        <v>2</v>
      </c>
      <c r="J26" s="24" t="n">
        <v>2</v>
      </c>
      <c r="K26" s="24" t="n">
        <v>2</v>
      </c>
      <c r="L26" s="24" t="n">
        <v>2</v>
      </c>
      <c r="M26" s="25" t="n">
        <f aca="false">SUM(G26:L26)</f>
        <v>12</v>
      </c>
      <c r="N26" s="25" t="n">
        <f aca="false">IF(E26="Vulnerable",12,6)</f>
        <v>12</v>
      </c>
      <c r="O26" s="26" t="n">
        <f aca="false">M26/N26</f>
        <v>1</v>
      </c>
      <c r="P26" s="25" t="s">
        <v>466</v>
      </c>
      <c r="Q26" s="25" t="s">
        <v>466</v>
      </c>
      <c r="R26" s="6" t="s">
        <v>514</v>
      </c>
    </row>
    <row r="27" customFormat="false" ht="39.55" hidden="false" customHeight="false" outlineLevel="0" collapsed="false">
      <c r="A27" s="23" t="s">
        <v>108</v>
      </c>
      <c r="B27" s="23" t="n">
        <v>1</v>
      </c>
      <c r="C27" s="23" t="s">
        <v>515</v>
      </c>
      <c r="D27" s="23" t="s">
        <v>188</v>
      </c>
      <c r="E27" s="23" t="s">
        <v>41</v>
      </c>
      <c r="F27" s="6" t="s">
        <v>474</v>
      </c>
      <c r="G27" s="24" t="n">
        <v>2</v>
      </c>
      <c r="H27" s="24" t="n">
        <v>1</v>
      </c>
      <c r="I27" s="24" t="n">
        <v>1</v>
      </c>
      <c r="J27" s="24" t="n">
        <v>2</v>
      </c>
      <c r="K27" s="24" t="n">
        <v>2</v>
      </c>
      <c r="L27" s="24" t="n">
        <v>2</v>
      </c>
      <c r="M27" s="25" t="n">
        <f aca="false">SUM(G27:L27)</f>
        <v>10</v>
      </c>
      <c r="N27" s="25" t="n">
        <f aca="false">IF(E27="Vulnerable",12,6)</f>
        <v>12</v>
      </c>
      <c r="O27" s="26" t="n">
        <f aca="false">M27/N27</f>
        <v>0.833333333333333</v>
      </c>
      <c r="P27" s="25" t="s">
        <v>466</v>
      </c>
      <c r="Q27" s="25" t="s">
        <v>466</v>
      </c>
      <c r="R27" s="6" t="s">
        <v>516</v>
      </c>
    </row>
    <row r="28" customFormat="false" ht="15" hidden="false" customHeight="false" outlineLevel="0" collapsed="false">
      <c r="A28" s="23" t="s">
        <v>108</v>
      </c>
      <c r="B28" s="23" t="n">
        <v>2</v>
      </c>
      <c r="C28" s="23" t="s">
        <v>517</v>
      </c>
      <c r="D28" s="23" t="s">
        <v>197</v>
      </c>
      <c r="E28" s="23" t="s">
        <v>41</v>
      </c>
      <c r="F28" s="6" t="s">
        <v>474</v>
      </c>
      <c r="G28" s="24" t="n">
        <v>2</v>
      </c>
      <c r="H28" s="24" t="n">
        <v>1</v>
      </c>
      <c r="I28" s="24" t="n">
        <v>1</v>
      </c>
      <c r="J28" s="24" t="n">
        <v>2</v>
      </c>
      <c r="K28" s="24" t="n">
        <v>2</v>
      </c>
      <c r="L28" s="24" t="n">
        <v>2</v>
      </c>
      <c r="M28" s="25" t="n">
        <f aca="false">SUM(G28:L28)</f>
        <v>10</v>
      </c>
      <c r="N28" s="25" t="n">
        <f aca="false">IF(E28="Vulnerable",12,6)</f>
        <v>12</v>
      </c>
      <c r="O28" s="26" t="n">
        <f aca="false">M28/N28</f>
        <v>0.833333333333333</v>
      </c>
      <c r="P28" s="25" t="s">
        <v>484</v>
      </c>
      <c r="Q28" s="25" t="s">
        <v>466</v>
      </c>
      <c r="R28" s="6" t="s">
        <v>518</v>
      </c>
    </row>
    <row r="29" customFormat="false" ht="15" hidden="false" customHeight="false" outlineLevel="0" collapsed="false">
      <c r="A29" s="23" t="s">
        <v>108</v>
      </c>
      <c r="B29" s="23" t="n">
        <v>3</v>
      </c>
      <c r="C29" s="23" t="s">
        <v>519</v>
      </c>
      <c r="D29" s="23" t="s">
        <v>197</v>
      </c>
      <c r="E29" s="23" t="s">
        <v>41</v>
      </c>
      <c r="F29" s="6" t="s">
        <v>474</v>
      </c>
      <c r="G29" s="24" t="n">
        <v>2</v>
      </c>
      <c r="H29" s="24" t="n">
        <v>1</v>
      </c>
      <c r="I29" s="24" t="n">
        <v>1</v>
      </c>
      <c r="J29" s="24" t="n">
        <v>2</v>
      </c>
      <c r="K29" s="24" t="n">
        <v>2</v>
      </c>
      <c r="L29" s="24" t="n">
        <v>2</v>
      </c>
      <c r="M29" s="25" t="n">
        <f aca="false">SUM(G29:L29)</f>
        <v>10</v>
      </c>
      <c r="N29" s="25" t="n">
        <f aca="false">IF(E29="Vulnerable",12,6)</f>
        <v>12</v>
      </c>
      <c r="O29" s="26" t="n">
        <f aca="false">M29/N29</f>
        <v>0.833333333333333</v>
      </c>
      <c r="P29" s="25" t="s">
        <v>484</v>
      </c>
      <c r="Q29" s="25" t="s">
        <v>466</v>
      </c>
      <c r="R29" s="6" t="s">
        <v>512</v>
      </c>
    </row>
    <row r="30" customFormat="false" ht="39.55" hidden="false" customHeight="false" outlineLevel="0" collapsed="false">
      <c r="A30" s="23" t="s">
        <v>116</v>
      </c>
      <c r="B30" s="23" t="n">
        <v>1</v>
      </c>
      <c r="C30" s="23" t="s">
        <v>520</v>
      </c>
      <c r="D30" s="23" t="s">
        <v>188</v>
      </c>
      <c r="E30" s="23" t="s">
        <v>41</v>
      </c>
      <c r="F30" s="6" t="s">
        <v>474</v>
      </c>
      <c r="G30" s="24" t="n">
        <v>2</v>
      </c>
      <c r="H30" s="24" t="n">
        <v>1</v>
      </c>
      <c r="I30" s="24" t="n">
        <v>2</v>
      </c>
      <c r="J30" s="24" t="n">
        <v>1</v>
      </c>
      <c r="K30" s="24" t="n">
        <v>2</v>
      </c>
      <c r="L30" s="24" t="n">
        <v>1</v>
      </c>
      <c r="M30" s="25" t="n">
        <f aca="false">SUM(G30:L30)</f>
        <v>9</v>
      </c>
      <c r="N30" s="25" t="n">
        <f aca="false">IF(E30="Vulnerable",12,6)</f>
        <v>12</v>
      </c>
      <c r="O30" s="26" t="n">
        <f aca="false">M30/N30</f>
        <v>0.75</v>
      </c>
      <c r="P30" s="25" t="s">
        <v>466</v>
      </c>
      <c r="Q30" s="25" t="s">
        <v>484</v>
      </c>
      <c r="R30" s="6" t="s">
        <v>521</v>
      </c>
    </row>
    <row r="31" customFormat="false" ht="15" hidden="false" customHeight="false" outlineLevel="0" collapsed="false">
      <c r="A31" s="23" t="s">
        <v>116</v>
      </c>
      <c r="B31" s="23" t="n">
        <v>2</v>
      </c>
      <c r="C31" s="23" t="s">
        <v>522</v>
      </c>
      <c r="D31" s="23" t="s">
        <v>197</v>
      </c>
      <c r="E31" s="23" t="s">
        <v>41</v>
      </c>
      <c r="F31" s="6" t="s">
        <v>474</v>
      </c>
      <c r="G31" s="24" t="n">
        <v>2</v>
      </c>
      <c r="H31" s="24" t="n">
        <v>1</v>
      </c>
      <c r="I31" s="24" t="n">
        <v>2</v>
      </c>
      <c r="J31" s="24" t="n">
        <v>2</v>
      </c>
      <c r="K31" s="24" t="n">
        <v>2</v>
      </c>
      <c r="L31" s="24" t="n">
        <v>2</v>
      </c>
      <c r="M31" s="25" t="n">
        <f aca="false">SUM(G31:L31)</f>
        <v>11</v>
      </c>
      <c r="N31" s="25" t="n">
        <f aca="false">IF(E31="Vulnerable",12,6)</f>
        <v>12</v>
      </c>
      <c r="O31" s="26" t="n">
        <f aca="false">M31/N31</f>
        <v>0.916666666666667</v>
      </c>
      <c r="P31" s="25" t="s">
        <v>484</v>
      </c>
      <c r="Q31" s="25" t="s">
        <v>466</v>
      </c>
      <c r="R31" s="6" t="s">
        <v>523</v>
      </c>
    </row>
    <row r="32" customFormat="false" ht="26.85" hidden="false" customHeight="false" outlineLevel="0" collapsed="false">
      <c r="A32" s="23" t="s">
        <v>116</v>
      </c>
      <c r="B32" s="23" t="n">
        <v>3</v>
      </c>
      <c r="C32" s="23" t="s">
        <v>524</v>
      </c>
      <c r="D32" s="23" t="s">
        <v>197</v>
      </c>
      <c r="E32" s="23" t="s">
        <v>41</v>
      </c>
      <c r="F32" s="6" t="s">
        <v>474</v>
      </c>
      <c r="G32" s="24" t="n">
        <v>2</v>
      </c>
      <c r="H32" s="24" t="n">
        <v>1</v>
      </c>
      <c r="I32" s="24" t="n">
        <v>2</v>
      </c>
      <c r="J32" s="24" t="n">
        <v>2</v>
      </c>
      <c r="K32" s="24" t="n">
        <v>2</v>
      </c>
      <c r="L32" s="24" t="n">
        <v>1</v>
      </c>
      <c r="M32" s="25" t="n">
        <f aca="false">SUM(G32:L32)</f>
        <v>10</v>
      </c>
      <c r="N32" s="25" t="n">
        <f aca="false">IF(E32="Vulnerable",12,6)</f>
        <v>12</v>
      </c>
      <c r="O32" s="26" t="n">
        <f aca="false">M32/N32</f>
        <v>0.833333333333333</v>
      </c>
      <c r="P32" s="25" t="s">
        <v>484</v>
      </c>
      <c r="Q32" s="25" t="s">
        <v>484</v>
      </c>
      <c r="R32" s="6" t="s">
        <v>525</v>
      </c>
    </row>
    <row r="33" customFormat="false" ht="39.55" hidden="false" customHeight="false" outlineLevel="0" collapsed="false">
      <c r="A33" s="23" t="s">
        <v>125</v>
      </c>
      <c r="B33" s="23" t="n">
        <v>1</v>
      </c>
      <c r="C33" s="23" t="s">
        <v>526</v>
      </c>
      <c r="D33" s="23" t="s">
        <v>188</v>
      </c>
      <c r="E33" s="23" t="s">
        <v>41</v>
      </c>
      <c r="F33" s="6" t="s">
        <v>474</v>
      </c>
      <c r="G33" s="24" t="n">
        <v>2</v>
      </c>
      <c r="H33" s="24" t="n">
        <v>1</v>
      </c>
      <c r="I33" s="24" t="n">
        <v>2</v>
      </c>
      <c r="J33" s="24" t="n">
        <v>2</v>
      </c>
      <c r="K33" s="24" t="n">
        <v>2</v>
      </c>
      <c r="L33" s="24" t="n">
        <v>2</v>
      </c>
      <c r="M33" s="25" t="n">
        <f aca="false">SUM(G33:L33)</f>
        <v>11</v>
      </c>
      <c r="N33" s="25" t="n">
        <f aca="false">IF(E33="Vulnerable",12,6)</f>
        <v>12</v>
      </c>
      <c r="O33" s="26" t="n">
        <f aca="false">M33/N33</f>
        <v>0.916666666666667</v>
      </c>
      <c r="P33" s="25" t="s">
        <v>484</v>
      </c>
      <c r="Q33" s="25" t="s">
        <v>466</v>
      </c>
      <c r="R33" s="6" t="s">
        <v>527</v>
      </c>
    </row>
    <row r="34" customFormat="false" ht="15" hidden="false" customHeight="false" outlineLevel="0" collapsed="false">
      <c r="A34" s="23" t="s">
        <v>125</v>
      </c>
      <c r="B34" s="23" t="n">
        <v>2</v>
      </c>
      <c r="C34" s="23" t="s">
        <v>528</v>
      </c>
      <c r="D34" s="23" t="s">
        <v>197</v>
      </c>
      <c r="E34" s="23" t="s">
        <v>41</v>
      </c>
      <c r="F34" s="6" t="s">
        <v>474</v>
      </c>
      <c r="G34" s="24" t="n">
        <v>2</v>
      </c>
      <c r="H34" s="24" t="n">
        <v>1</v>
      </c>
      <c r="I34" s="24" t="n">
        <v>2</v>
      </c>
      <c r="J34" s="24" t="n">
        <v>2</v>
      </c>
      <c r="K34" s="24" t="n">
        <v>2</v>
      </c>
      <c r="L34" s="24" t="n">
        <v>2</v>
      </c>
      <c r="M34" s="25" t="n">
        <f aca="false">SUM(G34:L34)</f>
        <v>11</v>
      </c>
      <c r="N34" s="25" t="n">
        <f aca="false">IF(E34="Vulnerable",12,6)</f>
        <v>12</v>
      </c>
      <c r="O34" s="26" t="n">
        <f aca="false">M34/N34</f>
        <v>0.916666666666667</v>
      </c>
      <c r="P34" s="25" t="s">
        <v>484</v>
      </c>
      <c r="Q34" s="25" t="s">
        <v>466</v>
      </c>
      <c r="R34" s="6" t="s">
        <v>529</v>
      </c>
    </row>
    <row r="35" customFormat="false" ht="15" hidden="false" customHeight="false" outlineLevel="0" collapsed="false">
      <c r="A35" s="23" t="s">
        <v>125</v>
      </c>
      <c r="B35" s="23" t="n">
        <v>3</v>
      </c>
      <c r="C35" s="23" t="s">
        <v>530</v>
      </c>
      <c r="D35" s="23" t="s">
        <v>197</v>
      </c>
      <c r="E35" s="23" t="s">
        <v>41</v>
      </c>
      <c r="F35" s="6" t="s">
        <v>474</v>
      </c>
      <c r="G35" s="24" t="n">
        <v>2</v>
      </c>
      <c r="H35" s="24" t="n">
        <v>2</v>
      </c>
      <c r="I35" s="24" t="n">
        <v>2</v>
      </c>
      <c r="J35" s="24" t="n">
        <v>2</v>
      </c>
      <c r="K35" s="24" t="n">
        <v>2</v>
      </c>
      <c r="L35" s="24" t="n">
        <v>2</v>
      </c>
      <c r="M35" s="25" t="n">
        <f aca="false">SUM(G35:L35)</f>
        <v>12</v>
      </c>
      <c r="N35" s="25" t="n">
        <f aca="false">IF(E35="Vulnerable",12,6)</f>
        <v>12</v>
      </c>
      <c r="O35" s="26" t="n">
        <f aca="false">M35/N35</f>
        <v>1</v>
      </c>
      <c r="P35" s="25" t="s">
        <v>466</v>
      </c>
      <c r="Q35" s="25" t="s">
        <v>466</v>
      </c>
      <c r="R35" s="6" t="s">
        <v>531</v>
      </c>
    </row>
    <row r="36" customFormat="false" ht="26.85" hidden="false" customHeight="false" outlineLevel="0" collapsed="false">
      <c r="A36" s="23" t="s">
        <v>132</v>
      </c>
      <c r="B36" s="23" t="n">
        <v>1</v>
      </c>
      <c r="C36" s="23" t="s">
        <v>532</v>
      </c>
      <c r="D36" s="23" t="s">
        <v>188</v>
      </c>
      <c r="E36" s="23" t="s">
        <v>463</v>
      </c>
      <c r="F36" s="6" t="s">
        <v>533</v>
      </c>
      <c r="G36" s="24" t="n">
        <v>0</v>
      </c>
      <c r="H36" s="24" t="n">
        <v>1</v>
      </c>
      <c r="I36" s="24" t="s">
        <v>465</v>
      </c>
      <c r="J36" s="24" t="s">
        <v>465</v>
      </c>
      <c r="K36" s="24" t="s">
        <v>465</v>
      </c>
      <c r="L36" s="24" t="n">
        <v>0</v>
      </c>
      <c r="M36" s="25" t="n">
        <f aca="false">SUM(G36:L36)</f>
        <v>1</v>
      </c>
      <c r="N36" s="25" t="n">
        <f aca="false">IF(E36="Vulnerable",12,6)</f>
        <v>6</v>
      </c>
      <c r="O36" s="26" t="n">
        <f aca="false">M36/N36</f>
        <v>0.166666666666667</v>
      </c>
      <c r="P36" s="25" t="s">
        <v>466</v>
      </c>
      <c r="Q36" s="25" t="s">
        <v>484</v>
      </c>
      <c r="R36" s="6" t="s">
        <v>534</v>
      </c>
    </row>
    <row r="37" customFormat="false" ht="26.85" hidden="false" customHeight="false" outlineLevel="0" collapsed="false">
      <c r="A37" s="23" t="s">
        <v>132</v>
      </c>
      <c r="B37" s="23" t="n">
        <v>2</v>
      </c>
      <c r="C37" s="23" t="s">
        <v>535</v>
      </c>
      <c r="D37" s="23" t="s">
        <v>197</v>
      </c>
      <c r="E37" s="23" t="s">
        <v>463</v>
      </c>
      <c r="F37" s="6" t="s">
        <v>536</v>
      </c>
      <c r="G37" s="24" t="n">
        <v>1</v>
      </c>
      <c r="H37" s="24" t="n">
        <v>1</v>
      </c>
      <c r="I37" s="24" t="s">
        <v>465</v>
      </c>
      <c r="J37" s="24" t="s">
        <v>465</v>
      </c>
      <c r="K37" s="24" t="s">
        <v>465</v>
      </c>
      <c r="L37" s="24" t="n">
        <v>1</v>
      </c>
      <c r="M37" s="25" t="n">
        <f aca="false">SUM(G37:L37)</f>
        <v>3</v>
      </c>
      <c r="N37" s="25" t="n">
        <f aca="false">IF(E37="Vulnerable",12,6)</f>
        <v>6</v>
      </c>
      <c r="O37" s="26" t="n">
        <f aca="false">M37/N37</f>
        <v>0.5</v>
      </c>
      <c r="P37" s="25" t="s">
        <v>466</v>
      </c>
      <c r="Q37" s="25" t="s">
        <v>484</v>
      </c>
      <c r="R37" s="6" t="s">
        <v>537</v>
      </c>
    </row>
    <row r="38" customFormat="false" ht="26.85" hidden="false" customHeight="false" outlineLevel="0" collapsed="false">
      <c r="A38" s="23" t="s">
        <v>132</v>
      </c>
      <c r="B38" s="23" t="n">
        <v>3</v>
      </c>
      <c r="C38" s="23" t="s">
        <v>538</v>
      </c>
      <c r="D38" s="23" t="s">
        <v>197</v>
      </c>
      <c r="E38" s="23" t="s">
        <v>463</v>
      </c>
      <c r="F38" s="6" t="s">
        <v>464</v>
      </c>
      <c r="G38" s="24" t="n">
        <v>2</v>
      </c>
      <c r="H38" s="24" t="n">
        <v>2</v>
      </c>
      <c r="I38" s="24" t="s">
        <v>465</v>
      </c>
      <c r="J38" s="24" t="s">
        <v>465</v>
      </c>
      <c r="K38" s="24" t="s">
        <v>465</v>
      </c>
      <c r="L38" s="24" t="n">
        <v>2</v>
      </c>
      <c r="M38" s="25" t="n">
        <f aca="false">SUM(G38:L38)</f>
        <v>6</v>
      </c>
      <c r="N38" s="25" t="n">
        <f aca="false">IF(E38="Vulnerable",12,6)</f>
        <v>6</v>
      </c>
      <c r="O38" s="26" t="n">
        <f aca="false">M38/N38</f>
        <v>1</v>
      </c>
      <c r="P38" s="25" t="s">
        <v>466</v>
      </c>
      <c r="Q38" s="25" t="s">
        <v>466</v>
      </c>
      <c r="R38" s="6" t="s">
        <v>539</v>
      </c>
    </row>
    <row r="39" customFormat="false" ht="15" hidden="false" customHeight="false" outlineLevel="0" collapsed="false">
      <c r="A39" s="27" t="s">
        <v>540</v>
      </c>
    </row>
    <row r="41" customFormat="false" ht="17.35" hidden="false" customHeight="false" outlineLevel="0" collapsed="false">
      <c r="A41" s="17" t="s">
        <v>541</v>
      </c>
    </row>
    <row r="42" customFormat="false" ht="15" hidden="false" customHeight="false" outlineLevel="0" collapsed="false">
      <c r="A42" s="28" t="s">
        <v>145</v>
      </c>
      <c r="G42" s="28" t="s">
        <v>450</v>
      </c>
      <c r="H42" s="28" t="s">
        <v>451</v>
      </c>
      <c r="I42" s="28" t="s">
        <v>452</v>
      </c>
      <c r="J42" s="28" t="s">
        <v>453</v>
      </c>
      <c r="K42" s="28" t="s">
        <v>454</v>
      </c>
      <c r="L42" s="28" t="s">
        <v>455</v>
      </c>
      <c r="O42" s="28" t="s">
        <v>458</v>
      </c>
    </row>
    <row r="43" customFormat="false" ht="15" hidden="false" customHeight="false" outlineLevel="0" collapsed="false">
      <c r="A43" s="21" t="s">
        <v>542</v>
      </c>
      <c r="G43" s="29" t="n">
        <f aca="false">AVERAGEIFS(G$2:G$38,$E$2:$E$38,"Vulnerable")</f>
        <v>1.87096774193548</v>
      </c>
      <c r="H43" s="29" t="n">
        <f aca="false">AVERAGEIFS(H$2:H$38,$E$2:$E$38,"Vulnerable")</f>
        <v>1.61290322580645</v>
      </c>
      <c r="I43" s="29" t="n">
        <f aca="false">AVERAGEIFS(I$2:I$38,$E$2:$E$38,"Vulnerable")</f>
        <v>1.7741935483871</v>
      </c>
      <c r="J43" s="29" t="n">
        <f aca="false">AVERAGEIFS(J$2:J$38,$E$2:$E$38,"Vulnerable")</f>
        <v>1.87096774193548</v>
      </c>
      <c r="K43" s="29" t="n">
        <f aca="false">AVERAGEIFS(K$2:K$38,$E$2:$E$38,"Vulnerable")</f>
        <v>1.96774193548387</v>
      </c>
      <c r="L43" s="29" t="n">
        <f aca="false">AVERAGEIFS(L$2:L$38,$E$2:$E$38,"Vulnerable")</f>
        <v>1.70967741935484</v>
      </c>
      <c r="O43" s="30" t="n">
        <f aca="false">AVERAGEIFS(O$2:O$38,$E$2:$E$38,"Vulnerable")</f>
        <v>0.900537634408602</v>
      </c>
    </row>
    <row r="44" customFormat="false" ht="15" hidden="false" customHeight="false" outlineLevel="0" collapsed="false">
      <c r="A44" s="21" t="s">
        <v>543</v>
      </c>
      <c r="G44" s="29" t="n">
        <f aca="false">AVERAGEIFS(G$2:G$38,$E$2:$E$38,"Not vulnerable")</f>
        <v>1.5</v>
      </c>
      <c r="H44" s="29" t="n">
        <f aca="false">AVERAGEIFS(H$2:H$38,$E$2:$E$38,"Not vulnerable")</f>
        <v>1.66666666666667</v>
      </c>
      <c r="I44" s="0" t="s">
        <v>465</v>
      </c>
      <c r="J44" s="0" t="s">
        <v>465</v>
      </c>
      <c r="K44" s="0" t="s">
        <v>465</v>
      </c>
      <c r="L44" s="29" t="n">
        <f aca="false">AVERAGEIFS(L$2:L$38,$E$2:$E$38,"Not vulnerable")</f>
        <v>1.5</v>
      </c>
      <c r="O44" s="30" t="n">
        <f aca="false">AVERAGEIFS(O$2:O$38,$E$2:$E$38,"Not vulnerable")</f>
        <v>0.777777777777778</v>
      </c>
    </row>
    <row r="45" customFormat="false" ht="15" hidden="false" customHeight="false" outlineLevel="0" collapsed="false">
      <c r="A45" s="21" t="s">
        <v>544</v>
      </c>
      <c r="G45" s="0" t="str">
        <f aca="false">COUNTIF(P$2:P$38,"Y")&amp;" of "&amp;COUNTA(P$2:P$38)</f>
        <v>9 of 37</v>
      </c>
    </row>
    <row r="46" customFormat="false" ht="15" hidden="false" customHeight="false" outlineLevel="0" collapsed="false">
      <c r="A46" s="21" t="s">
        <v>545</v>
      </c>
      <c r="G46" s="0" t="str">
        <f aca="false">COUNTIF(Q$2:Q$38,"Y")&amp;" of "&amp;COUNTA(Q$2:Q$38)</f>
        <v>5 of 37</v>
      </c>
    </row>
    <row r="47" customFormat="false" ht="15" hidden="false" customHeight="false" outlineLevel="0" collapsed="false">
      <c r="A47" s="21" t="s">
        <v>546</v>
      </c>
      <c r="G47" s="0" t="str">
        <f aca="false">SUMPRODUCT(($E$2:$E$38="Vulnerable")*(M$2:M$38=12))&amp;" of "&amp;COUNTIF($E$2:$E$38,"Vulnerable")</f>
        <v>13 of 31</v>
      </c>
    </row>
    <row r="49" customFormat="false" ht="17.35" hidden="false" customHeight="false" outlineLevel="0" collapsed="false">
      <c r="A49" s="17" t="s">
        <v>547</v>
      </c>
    </row>
    <row r="50" customFormat="false" ht="15" hidden="false" customHeight="false" outlineLevel="0" collapsed="false">
      <c r="A50" s="28" t="s">
        <v>446</v>
      </c>
      <c r="B50" s="28" t="s">
        <v>548</v>
      </c>
      <c r="C50" s="28" t="s">
        <v>549</v>
      </c>
      <c r="D50" s="28" t="s">
        <v>550</v>
      </c>
      <c r="E50" s="28" t="s">
        <v>551</v>
      </c>
      <c r="F50" s="28" t="s">
        <v>552</v>
      </c>
      <c r="G50" s="28" t="s">
        <v>553</v>
      </c>
      <c r="H50" s="28" t="s">
        <v>554</v>
      </c>
    </row>
    <row r="51" customFormat="false" ht="15" hidden="false" customHeight="false" outlineLevel="0" collapsed="false">
      <c r="A51" s="21" t="s">
        <v>25</v>
      </c>
      <c r="B51" s="0" t="n">
        <f aca="false">COUNTIF($A$2:$A$38,A51)</f>
        <v>3</v>
      </c>
      <c r="C51" s="29" t="n">
        <f aca="false">AVERAGEIF($A$2:$A$38,A51,G$2:G$38)</f>
        <v>2</v>
      </c>
      <c r="D51" s="29" t="n">
        <f aca="false">AVERAGEIF($A$2:$A$38,A51,H$2:H$38)</f>
        <v>2</v>
      </c>
      <c r="E51" s="29" t="n">
        <f aca="false">AVERAGEIF($A$2:$A$38,A51,L$2:L$38)</f>
        <v>2</v>
      </c>
      <c r="F51" s="29" t="str">
        <f aca="false">IFERROR(AVERAGEIF($A$2:$A$38,A51,J$2:J$38),"n/a")</f>
        <v>n/a</v>
      </c>
      <c r="G51" s="30" t="n">
        <f aca="false">AVERAGEIF($A$2:$A$38,A51,O$2:O$38)</f>
        <v>1</v>
      </c>
      <c r="H51" s="30" t="n">
        <f aca="false">_xlfn.MINIFS(O$2:O$38,$A$2:$A$38,A51)</f>
        <v>1</v>
      </c>
    </row>
    <row r="52" customFormat="false" ht="15" hidden="false" customHeight="false" outlineLevel="0" collapsed="false">
      <c r="A52" s="21" t="s">
        <v>38</v>
      </c>
      <c r="B52" s="0" t="n">
        <f aca="false">COUNTIF($A$2:$A$38,A52)</f>
        <v>3</v>
      </c>
      <c r="C52" s="29" t="n">
        <f aca="false">AVERAGEIF($A$2:$A$38,A52,G$2:G$38)</f>
        <v>2</v>
      </c>
      <c r="D52" s="29" t="n">
        <f aca="false">AVERAGEIF($A$2:$A$38,A52,H$2:H$38)</f>
        <v>2</v>
      </c>
      <c r="E52" s="29" t="n">
        <f aca="false">AVERAGEIF($A$2:$A$38,A52,L$2:L$38)</f>
        <v>2</v>
      </c>
      <c r="F52" s="29" t="n">
        <f aca="false">IFERROR(AVERAGEIF($A$2:$A$38,A52,J$2:J$38),"n/a")</f>
        <v>2</v>
      </c>
      <c r="G52" s="30" t="n">
        <f aca="false">AVERAGEIF($A$2:$A$38,A52,O$2:O$38)</f>
        <v>1</v>
      </c>
      <c r="H52" s="30" t="n">
        <f aca="false">_xlfn.MINIFS(O$2:O$38,$A$2:$A$38,A52)</f>
        <v>1</v>
      </c>
    </row>
    <row r="53" customFormat="false" ht="15" hidden="false" customHeight="false" outlineLevel="0" collapsed="false">
      <c r="A53" s="21" t="s">
        <v>51</v>
      </c>
      <c r="B53" s="0" t="n">
        <f aca="false">COUNTIF($A$2:$A$38,A53)</f>
        <v>3</v>
      </c>
      <c r="C53" s="29" t="n">
        <f aca="false">AVERAGEIF($A$2:$A$38,A53,G$2:G$38)</f>
        <v>2</v>
      </c>
      <c r="D53" s="29" t="n">
        <f aca="false">AVERAGEIF($A$2:$A$38,A53,H$2:H$38)</f>
        <v>2</v>
      </c>
      <c r="E53" s="29" t="n">
        <f aca="false">AVERAGEIF($A$2:$A$38,A53,L$2:L$38)</f>
        <v>1.66666666666667</v>
      </c>
      <c r="F53" s="29" t="n">
        <f aca="false">IFERROR(AVERAGEIF($A$2:$A$38,A53,J$2:J$38),"n/a")</f>
        <v>2</v>
      </c>
      <c r="G53" s="30" t="n">
        <f aca="false">AVERAGEIF($A$2:$A$38,A53,O$2:O$38)</f>
        <v>0.972222222222222</v>
      </c>
      <c r="H53" s="30" t="n">
        <f aca="false">_xlfn.MINIFS(O$2:O$38,$A$2:$A$38,A53)</f>
        <v>0.916666666666667</v>
      </c>
    </row>
    <row r="54" customFormat="false" ht="15" hidden="false" customHeight="false" outlineLevel="0" collapsed="false">
      <c r="A54" s="21" t="s">
        <v>61</v>
      </c>
      <c r="B54" s="0" t="n">
        <f aca="false">COUNTIF($A$2:$A$38,A54)</f>
        <v>3</v>
      </c>
      <c r="C54" s="29" t="n">
        <f aca="false">AVERAGEIF($A$2:$A$38,A54,G$2:G$38)</f>
        <v>2</v>
      </c>
      <c r="D54" s="29" t="n">
        <f aca="false">AVERAGEIF($A$2:$A$38,A54,H$2:H$38)</f>
        <v>2</v>
      </c>
      <c r="E54" s="29" t="n">
        <f aca="false">AVERAGEIF($A$2:$A$38,A54,L$2:L$38)</f>
        <v>2</v>
      </c>
      <c r="F54" s="29" t="n">
        <f aca="false">IFERROR(AVERAGEIF($A$2:$A$38,A54,J$2:J$38),"n/a")</f>
        <v>1</v>
      </c>
      <c r="G54" s="30" t="n">
        <f aca="false">AVERAGEIF($A$2:$A$38,A54,O$2:O$38)</f>
        <v>0.833333333333333</v>
      </c>
      <c r="H54" s="30" t="n">
        <f aca="false">_xlfn.MINIFS(O$2:O$38,$A$2:$A$38,A54)</f>
        <v>0.833333333333333</v>
      </c>
    </row>
    <row r="55" customFormat="false" ht="15" hidden="false" customHeight="false" outlineLevel="0" collapsed="false">
      <c r="A55" s="21" t="s">
        <v>71</v>
      </c>
      <c r="B55" s="0" t="n">
        <f aca="false">COUNTIF($A$2:$A$38,A55)</f>
        <v>3</v>
      </c>
      <c r="C55" s="29" t="n">
        <f aca="false">AVERAGEIF($A$2:$A$38,A55,G$2:G$38)</f>
        <v>2</v>
      </c>
      <c r="D55" s="29" t="n">
        <f aca="false">AVERAGEIF($A$2:$A$38,A55,H$2:H$38)</f>
        <v>2</v>
      </c>
      <c r="E55" s="29" t="n">
        <f aca="false">AVERAGEIF($A$2:$A$38,A55,L$2:L$38)</f>
        <v>2</v>
      </c>
      <c r="F55" s="29" t="n">
        <f aca="false">IFERROR(AVERAGEIF($A$2:$A$38,A55,J$2:J$38),"n/a")</f>
        <v>2</v>
      </c>
      <c r="G55" s="30" t="n">
        <f aca="false">AVERAGEIF($A$2:$A$38,A55,O$2:O$38)</f>
        <v>1</v>
      </c>
      <c r="H55" s="30" t="n">
        <f aca="false">_xlfn.MINIFS(O$2:O$38,$A$2:$A$38,A55)</f>
        <v>1</v>
      </c>
    </row>
    <row r="56" customFormat="false" ht="15" hidden="false" customHeight="false" outlineLevel="0" collapsed="false">
      <c r="A56" s="21" t="s">
        <v>80</v>
      </c>
      <c r="B56" s="0" t="n">
        <f aca="false">COUNTIF($A$2:$A$38,A56)</f>
        <v>3</v>
      </c>
      <c r="C56" s="29" t="n">
        <f aca="false">AVERAGEIF($A$2:$A$38,A56,G$2:G$38)</f>
        <v>2</v>
      </c>
      <c r="D56" s="29" t="n">
        <f aca="false">AVERAGEIF($A$2:$A$38,A56,H$2:H$38)</f>
        <v>2</v>
      </c>
      <c r="E56" s="29" t="n">
        <f aca="false">AVERAGEIF($A$2:$A$38,A56,L$2:L$38)</f>
        <v>2</v>
      </c>
      <c r="F56" s="29" t="n">
        <f aca="false">IFERROR(AVERAGEIF($A$2:$A$38,A56,J$2:J$38),"n/a")</f>
        <v>2</v>
      </c>
      <c r="G56" s="30" t="n">
        <f aca="false">AVERAGEIF($A$2:$A$38,A56,O$2:O$38)</f>
        <v>1</v>
      </c>
      <c r="H56" s="30" t="n">
        <f aca="false">_xlfn.MINIFS(O$2:O$38,$A$2:$A$38,A56)</f>
        <v>1</v>
      </c>
    </row>
    <row r="57" customFormat="false" ht="15" hidden="false" customHeight="false" outlineLevel="0" collapsed="false">
      <c r="A57" s="21" t="s">
        <v>89</v>
      </c>
      <c r="B57" s="0" t="n">
        <f aca="false">COUNTIF($A$2:$A$38,A57)</f>
        <v>3</v>
      </c>
      <c r="C57" s="29" t="n">
        <f aca="false">AVERAGEIF($A$2:$A$38,A57,G$2:G$38)</f>
        <v>2</v>
      </c>
      <c r="D57" s="29" t="n">
        <f aca="false">AVERAGEIF($A$2:$A$38,A57,H$2:H$38)</f>
        <v>1</v>
      </c>
      <c r="E57" s="29" t="n">
        <f aca="false">AVERAGEIF($A$2:$A$38,A57,L$2:L$38)</f>
        <v>2</v>
      </c>
      <c r="F57" s="29" t="n">
        <f aca="false">IFERROR(AVERAGEIF($A$2:$A$38,A57,J$2:J$38),"n/a")</f>
        <v>2</v>
      </c>
      <c r="G57" s="30" t="n">
        <f aca="false">AVERAGEIF($A$2:$A$38,A57,O$2:O$38)</f>
        <v>0.916666666666667</v>
      </c>
      <c r="H57" s="30" t="n">
        <f aca="false">_xlfn.MINIFS(O$2:O$38,$A$2:$A$38,A57)</f>
        <v>0.916666666666667</v>
      </c>
    </row>
    <row r="58" customFormat="false" ht="15" hidden="false" customHeight="false" outlineLevel="0" collapsed="false">
      <c r="A58" s="21" t="s">
        <v>99</v>
      </c>
      <c r="B58" s="0" t="n">
        <f aca="false">COUNTIF($A$2:$A$38,A58)</f>
        <v>4</v>
      </c>
      <c r="C58" s="29" t="n">
        <f aca="false">AVERAGEIF($A$2:$A$38,A58,G$2:G$38)</f>
        <v>1</v>
      </c>
      <c r="D58" s="29" t="n">
        <f aca="false">AVERAGEIF($A$2:$A$38,A58,H$2:H$38)</f>
        <v>1.75</v>
      </c>
      <c r="E58" s="29" t="n">
        <f aca="false">AVERAGEIF($A$2:$A$38,A58,L$2:L$38)</f>
        <v>0.5</v>
      </c>
      <c r="F58" s="29" t="n">
        <f aca="false">IFERROR(AVERAGEIF($A$2:$A$38,A58,J$2:J$38),"n/a")</f>
        <v>2</v>
      </c>
      <c r="G58" s="30" t="n">
        <f aca="false">AVERAGEIF($A$2:$A$38,A58,O$2:O$38)</f>
        <v>0.729166666666667</v>
      </c>
      <c r="H58" s="30" t="n">
        <f aca="false">_xlfn.MINIFS(O$2:O$38,$A$2:$A$38,A58)</f>
        <v>0.416666666666667</v>
      </c>
    </row>
    <row r="59" customFormat="false" ht="15" hidden="false" customHeight="false" outlineLevel="0" collapsed="false">
      <c r="A59" s="21" t="s">
        <v>108</v>
      </c>
      <c r="B59" s="0" t="n">
        <f aca="false">COUNTIF($A$2:$A$38,A59)</f>
        <v>3</v>
      </c>
      <c r="C59" s="29" t="n">
        <f aca="false">AVERAGEIF($A$2:$A$38,A59,G$2:G$38)</f>
        <v>2</v>
      </c>
      <c r="D59" s="29" t="n">
        <f aca="false">AVERAGEIF($A$2:$A$38,A59,H$2:H$38)</f>
        <v>1</v>
      </c>
      <c r="E59" s="29" t="n">
        <f aca="false">AVERAGEIF($A$2:$A$38,A59,L$2:L$38)</f>
        <v>2</v>
      </c>
      <c r="F59" s="29" t="n">
        <f aca="false">IFERROR(AVERAGEIF($A$2:$A$38,A59,J$2:J$38),"n/a")</f>
        <v>2</v>
      </c>
      <c r="G59" s="30" t="n">
        <f aca="false">AVERAGEIF($A$2:$A$38,A59,O$2:O$38)</f>
        <v>0.833333333333333</v>
      </c>
      <c r="H59" s="30" t="n">
        <f aca="false">_xlfn.MINIFS(O$2:O$38,$A$2:$A$38,A59)</f>
        <v>0.833333333333333</v>
      </c>
    </row>
    <row r="60" customFormat="false" ht="15" hidden="false" customHeight="false" outlineLevel="0" collapsed="false">
      <c r="A60" s="21" t="s">
        <v>116</v>
      </c>
      <c r="B60" s="0" t="n">
        <f aca="false">COUNTIF($A$2:$A$38,A60)</f>
        <v>3</v>
      </c>
      <c r="C60" s="29" t="n">
        <f aca="false">AVERAGEIF($A$2:$A$38,A60,G$2:G$38)</f>
        <v>2</v>
      </c>
      <c r="D60" s="29" t="n">
        <f aca="false">AVERAGEIF($A$2:$A$38,A60,H$2:H$38)</f>
        <v>1</v>
      </c>
      <c r="E60" s="29" t="n">
        <f aca="false">AVERAGEIF($A$2:$A$38,A60,L$2:L$38)</f>
        <v>1.33333333333333</v>
      </c>
      <c r="F60" s="29" t="n">
        <f aca="false">IFERROR(AVERAGEIF($A$2:$A$38,A60,J$2:J$38),"n/a")</f>
        <v>1.66666666666667</v>
      </c>
      <c r="G60" s="30" t="n">
        <f aca="false">AVERAGEIF($A$2:$A$38,A60,O$2:O$38)</f>
        <v>0.833333333333333</v>
      </c>
      <c r="H60" s="30" t="n">
        <f aca="false">_xlfn.MINIFS(O$2:O$38,$A$2:$A$38,A60)</f>
        <v>0.75</v>
      </c>
    </row>
    <row r="61" customFormat="false" ht="15" hidden="false" customHeight="false" outlineLevel="0" collapsed="false">
      <c r="A61" s="21" t="s">
        <v>125</v>
      </c>
      <c r="B61" s="0" t="n">
        <f aca="false">COUNTIF($A$2:$A$38,A61)</f>
        <v>3</v>
      </c>
      <c r="C61" s="29" t="n">
        <f aca="false">AVERAGEIF($A$2:$A$38,A61,G$2:G$38)</f>
        <v>2</v>
      </c>
      <c r="D61" s="29" t="n">
        <f aca="false">AVERAGEIF($A$2:$A$38,A61,H$2:H$38)</f>
        <v>1.33333333333333</v>
      </c>
      <c r="E61" s="29" t="n">
        <f aca="false">AVERAGEIF($A$2:$A$38,A61,L$2:L$38)</f>
        <v>2</v>
      </c>
      <c r="F61" s="29" t="n">
        <f aca="false">IFERROR(AVERAGEIF($A$2:$A$38,A61,J$2:J$38),"n/a")</f>
        <v>2</v>
      </c>
      <c r="G61" s="30" t="n">
        <f aca="false">AVERAGEIF($A$2:$A$38,A61,O$2:O$38)</f>
        <v>0.944444444444444</v>
      </c>
      <c r="H61" s="30" t="n">
        <f aca="false">_xlfn.MINIFS(O$2:O$38,$A$2:$A$38,A61)</f>
        <v>0.916666666666667</v>
      </c>
    </row>
    <row r="62" customFormat="false" ht="15" hidden="false" customHeight="false" outlineLevel="0" collapsed="false">
      <c r="A62" s="21" t="s">
        <v>132</v>
      </c>
      <c r="B62" s="0" t="n">
        <f aca="false">COUNTIF($A$2:$A$38,A62)</f>
        <v>3</v>
      </c>
      <c r="C62" s="29" t="n">
        <f aca="false">AVERAGEIF($A$2:$A$38,A62,G$2:G$38)</f>
        <v>1</v>
      </c>
      <c r="D62" s="29" t="n">
        <f aca="false">AVERAGEIF($A$2:$A$38,A62,H$2:H$38)</f>
        <v>1.33333333333333</v>
      </c>
      <c r="E62" s="29" t="n">
        <f aca="false">AVERAGEIF($A$2:$A$38,A62,L$2:L$38)</f>
        <v>1</v>
      </c>
      <c r="F62" s="29" t="str">
        <f aca="false">IFERROR(AVERAGEIF($A$2:$A$38,A62,J$2:J$38),"n/a")</f>
        <v>n/a</v>
      </c>
      <c r="G62" s="30" t="n">
        <f aca="false">AVERAGEIF($A$2:$A$38,A62,O$2:O$38)</f>
        <v>0.555555555555556</v>
      </c>
      <c r="H62" s="30" t="n">
        <f aca="false">_xlfn.MINIFS(O$2:O$38,$A$2:$A$38,A62)</f>
        <v>0.166666666666667</v>
      </c>
    </row>
  </sheetData>
  <autoFilter ref="A1:R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
    <col collapsed="false" customWidth="true" hidden="false" outlineLevel="0" max="3" min="3" style="0" width="13"/>
    <col collapsed="false" customWidth="true" hidden="false" outlineLevel="0" max="9" min="4" style="0" width="7"/>
    <col collapsed="false" customWidth="true" hidden="false" outlineLevel="0" max="10" min="10" style="0" width="10"/>
    <col collapsed="false" customWidth="true" hidden="false" outlineLevel="0" max="15" min="11" style="0" width="6"/>
    <col collapsed="false" customWidth="true" hidden="false" outlineLevel="0" max="16" min="16" style="0" width="10"/>
    <col collapsed="false" customWidth="true" hidden="false" outlineLevel="0" max="17" min="17" style="0" width="11"/>
    <col collapsed="false" customWidth="true" hidden="false" outlineLevel="0" max="18" min="18" style="0" width="10"/>
  </cols>
  <sheetData>
    <row r="1" customFormat="false" ht="17.35" hidden="false" customHeight="false" outlineLevel="0" collapsed="false">
      <c r="A1" s="17" t="s">
        <v>555</v>
      </c>
    </row>
    <row r="2" customFormat="false" ht="45" hidden="false" customHeight="true" outlineLevel="0" collapsed="false">
      <c r="A2" s="18" t="s">
        <v>556</v>
      </c>
      <c r="B2" s="18"/>
      <c r="C2" s="18"/>
      <c r="D2" s="18"/>
      <c r="E2" s="18"/>
      <c r="F2" s="18"/>
      <c r="G2" s="18"/>
      <c r="H2" s="18"/>
      <c r="I2" s="18"/>
      <c r="J2" s="18"/>
      <c r="K2" s="18"/>
      <c r="L2" s="18"/>
      <c r="M2" s="18"/>
      <c r="N2" s="18"/>
      <c r="O2" s="18"/>
      <c r="P2" s="18"/>
      <c r="Q2" s="18"/>
      <c r="R2" s="18"/>
    </row>
    <row r="3" customFormat="false" ht="15" hidden="false" customHeight="false" outlineLevel="0" collapsed="false">
      <c r="A3" s="18"/>
      <c r="B3" s="18"/>
      <c r="C3" s="18"/>
      <c r="D3" s="18"/>
      <c r="E3" s="18"/>
      <c r="F3" s="18"/>
      <c r="G3" s="18"/>
      <c r="H3" s="18"/>
      <c r="I3" s="18"/>
      <c r="J3" s="18"/>
      <c r="K3" s="18"/>
      <c r="L3" s="18"/>
      <c r="M3" s="18"/>
      <c r="N3" s="18"/>
      <c r="O3" s="18"/>
      <c r="P3" s="18"/>
      <c r="Q3" s="18"/>
      <c r="R3" s="18"/>
    </row>
    <row r="4" customFormat="false" ht="15" hidden="false" customHeight="false" outlineLevel="0" collapsed="false">
      <c r="A4" s="27" t="s">
        <v>557</v>
      </c>
    </row>
    <row r="6" customFormat="false" ht="26.85" hidden="false" customHeight="false" outlineLevel="0" collapsed="false">
      <c r="A6" s="19" t="s">
        <v>446</v>
      </c>
      <c r="B6" s="19" t="s">
        <v>447</v>
      </c>
      <c r="C6" s="19" t="s">
        <v>177</v>
      </c>
      <c r="D6" s="19" t="s">
        <v>558</v>
      </c>
      <c r="E6" s="19" t="s">
        <v>559</v>
      </c>
      <c r="F6" s="19" t="s">
        <v>560</v>
      </c>
      <c r="G6" s="19" t="s">
        <v>561</v>
      </c>
      <c r="H6" s="19" t="s">
        <v>562</v>
      </c>
      <c r="I6" s="19" t="s">
        <v>563</v>
      </c>
      <c r="J6" s="19" t="s">
        <v>564</v>
      </c>
      <c r="K6" s="19" t="s">
        <v>451</v>
      </c>
      <c r="L6" s="19" t="s">
        <v>452</v>
      </c>
      <c r="M6" s="19" t="s">
        <v>453</v>
      </c>
      <c r="N6" s="19" t="s">
        <v>454</v>
      </c>
      <c r="O6" s="19" t="s">
        <v>455</v>
      </c>
      <c r="P6" s="19" t="s">
        <v>565</v>
      </c>
      <c r="Q6" s="19" t="s">
        <v>566</v>
      </c>
      <c r="R6" s="19" t="s">
        <v>567</v>
      </c>
    </row>
    <row r="7" customFormat="false" ht="15" hidden="false" customHeight="false" outlineLevel="0" collapsed="false">
      <c r="A7" s="31" t="s">
        <v>38</v>
      </c>
      <c r="B7" s="31" t="n">
        <v>1</v>
      </c>
      <c r="C7" s="31" t="str">
        <f aca="false">'AI Quality Scoring'!C5</f>
        <v>38404584887</v>
      </c>
      <c r="D7" s="32"/>
      <c r="E7" s="32"/>
      <c r="F7" s="32"/>
      <c r="G7" s="32"/>
      <c r="H7" s="32"/>
      <c r="I7" s="32"/>
      <c r="J7" s="33" t="n">
        <f aca="false">'AI Quality Scoring'!G5</f>
        <v>2</v>
      </c>
      <c r="K7" s="33" t="n">
        <f aca="false">'AI Quality Scoring'!H5</f>
        <v>2</v>
      </c>
      <c r="L7" s="33" t="n">
        <f aca="false">'AI Quality Scoring'!I5</f>
        <v>2</v>
      </c>
      <c r="M7" s="33" t="n">
        <f aca="false">'AI Quality Scoring'!J5</f>
        <v>2</v>
      </c>
      <c r="N7" s="33" t="n">
        <f aca="false">'AI Quality Scoring'!K5</f>
        <v>2</v>
      </c>
      <c r="O7" s="33" t="n">
        <f aca="false">'AI Quality Scoring'!L5</f>
        <v>2</v>
      </c>
      <c r="P7" s="31" t="n">
        <f aca="false">IF(AND(ISNUMBER(D7),ISNUMBER(J7)),--(D7=J7),0)+IF(AND(ISNUMBER(E7),ISNUMBER(K7)),--(E7=K7),0)+IF(AND(ISNUMBER(F7),ISNUMBER(L7)),--(F7=L7),0)+IF(AND(ISNUMBER(G7),ISNUMBER(M7)),--(G7=M7),0)+IF(AND(ISNUMBER(H7),ISNUMBER(N7)),--(H7=N7),0)+IF(AND(ISNUMBER(I7),ISNUMBER(O7)),--(I7=O7),0)</f>
        <v>0</v>
      </c>
      <c r="Q7" s="31" t="n">
        <f aca="false">--AND(ISNUMBER(D7),ISNUMBER(J7))+--AND(ISNUMBER(E7),ISNUMBER(K7))+--AND(ISNUMBER(F7),ISNUMBER(L7))+--AND(ISNUMBER(G7),ISNUMBER(M7))+--AND(ISNUMBER(H7),ISNUMBER(N7))+--AND(ISNUMBER(I7),ISNUMBER(O7))</f>
        <v>0</v>
      </c>
      <c r="R7" s="31" t="n">
        <f aca="false">IF(AND(ISNUMBER(D7),ISNUMBER(J7)),--(ABS(D7-J7)&lt;=1),0)+IF(AND(ISNUMBER(E7),ISNUMBER(K7)),--(ABS(E7-K7)&lt;=1),0)+IF(AND(ISNUMBER(F7),ISNUMBER(L7)),--(ABS(F7-L7)&lt;=1),0)+IF(AND(ISNUMBER(G7),ISNUMBER(M7)),--(ABS(G7-M7)&lt;=1),0)+IF(AND(ISNUMBER(H7),ISNUMBER(N7)),--(ABS(H7-N7)&lt;=1),0)+IF(AND(ISNUMBER(I7),ISNUMBER(O7)),--(ABS(I7-O7)&lt;=1),0)</f>
        <v>0</v>
      </c>
    </row>
    <row r="8" customFormat="false" ht="15" hidden="false" customHeight="false" outlineLevel="0" collapsed="false">
      <c r="A8" s="31" t="s">
        <v>61</v>
      </c>
      <c r="B8" s="31" t="n">
        <v>2</v>
      </c>
      <c r="C8" s="31" t="str">
        <f aca="false">'AI Quality Scoring'!C12</f>
        <v>38405031009</v>
      </c>
      <c r="D8" s="32"/>
      <c r="E8" s="32"/>
      <c r="F8" s="32"/>
      <c r="G8" s="32"/>
      <c r="H8" s="32"/>
      <c r="I8" s="32"/>
      <c r="J8" s="33" t="n">
        <f aca="false">'AI Quality Scoring'!G12</f>
        <v>2</v>
      </c>
      <c r="K8" s="33" t="n">
        <f aca="false">'AI Quality Scoring'!H12</f>
        <v>2</v>
      </c>
      <c r="L8" s="33" t="n">
        <f aca="false">'AI Quality Scoring'!I12</f>
        <v>1</v>
      </c>
      <c r="M8" s="33" t="n">
        <f aca="false">'AI Quality Scoring'!J12</f>
        <v>1</v>
      </c>
      <c r="N8" s="33" t="n">
        <f aca="false">'AI Quality Scoring'!K12</f>
        <v>2</v>
      </c>
      <c r="O8" s="33" t="n">
        <f aca="false">'AI Quality Scoring'!L12</f>
        <v>2</v>
      </c>
      <c r="P8" s="31" t="n">
        <f aca="false">IF(AND(ISNUMBER(D8),ISNUMBER(J8)),--(D8=J8),0)+IF(AND(ISNUMBER(E8),ISNUMBER(K8)),--(E8=K8),0)+IF(AND(ISNUMBER(F8),ISNUMBER(L8)),--(F8=L8),0)+IF(AND(ISNUMBER(G8),ISNUMBER(M8)),--(G8=M8),0)+IF(AND(ISNUMBER(H8),ISNUMBER(N8)),--(H8=N8),0)+IF(AND(ISNUMBER(I8),ISNUMBER(O8)),--(I8=O8),0)</f>
        <v>0</v>
      </c>
      <c r="Q8" s="31" t="n">
        <f aca="false">--AND(ISNUMBER(D8),ISNUMBER(J8))+--AND(ISNUMBER(E8),ISNUMBER(K8))+--AND(ISNUMBER(F8),ISNUMBER(L8))+--AND(ISNUMBER(G8),ISNUMBER(M8))+--AND(ISNUMBER(H8),ISNUMBER(N8))+--AND(ISNUMBER(I8),ISNUMBER(O8))</f>
        <v>0</v>
      </c>
      <c r="R8" s="31" t="n">
        <f aca="false">IF(AND(ISNUMBER(D8),ISNUMBER(J8)),--(ABS(D8-J8)&lt;=1),0)+IF(AND(ISNUMBER(E8),ISNUMBER(K8)),--(ABS(E8-K8)&lt;=1),0)+IF(AND(ISNUMBER(F8),ISNUMBER(L8)),--(ABS(F8-L8)&lt;=1),0)+IF(AND(ISNUMBER(G8),ISNUMBER(M8)),--(ABS(G8-M8)&lt;=1),0)+IF(AND(ISNUMBER(H8),ISNUMBER(N8)),--(ABS(H8-N8)&lt;=1),0)+IF(AND(ISNUMBER(I8),ISNUMBER(O8)),--(ABS(I8-O8)&lt;=1),0)</f>
        <v>0</v>
      </c>
    </row>
    <row r="9" customFormat="false" ht="15" hidden="false" customHeight="false" outlineLevel="0" collapsed="false">
      <c r="A9" s="31" t="s">
        <v>89</v>
      </c>
      <c r="B9" s="31" t="n">
        <v>1</v>
      </c>
      <c r="C9" s="31" t="str">
        <f aca="false">'AI Quality Scoring'!C20</f>
        <v>38404600206</v>
      </c>
      <c r="D9" s="32"/>
      <c r="E9" s="32"/>
      <c r="F9" s="32"/>
      <c r="G9" s="32"/>
      <c r="H9" s="32"/>
      <c r="I9" s="32"/>
      <c r="J9" s="33" t="n">
        <f aca="false">'AI Quality Scoring'!G20</f>
        <v>2</v>
      </c>
      <c r="K9" s="33" t="n">
        <f aca="false">'AI Quality Scoring'!H20</f>
        <v>1</v>
      </c>
      <c r="L9" s="33" t="n">
        <f aca="false">'AI Quality Scoring'!I20</f>
        <v>2</v>
      </c>
      <c r="M9" s="33" t="n">
        <f aca="false">'AI Quality Scoring'!J20</f>
        <v>2</v>
      </c>
      <c r="N9" s="33" t="n">
        <f aca="false">'AI Quality Scoring'!K20</f>
        <v>2</v>
      </c>
      <c r="O9" s="33" t="n">
        <f aca="false">'AI Quality Scoring'!L20</f>
        <v>2</v>
      </c>
      <c r="P9" s="31" t="n">
        <f aca="false">IF(AND(ISNUMBER(D9),ISNUMBER(J9)),--(D9=J9),0)+IF(AND(ISNUMBER(E9),ISNUMBER(K9)),--(E9=K9),0)+IF(AND(ISNUMBER(F9),ISNUMBER(L9)),--(F9=L9),0)+IF(AND(ISNUMBER(G9),ISNUMBER(M9)),--(G9=M9),0)+IF(AND(ISNUMBER(H9),ISNUMBER(N9)),--(H9=N9),0)+IF(AND(ISNUMBER(I9),ISNUMBER(O9)),--(I9=O9),0)</f>
        <v>0</v>
      </c>
      <c r="Q9" s="31" t="n">
        <f aca="false">--AND(ISNUMBER(D9),ISNUMBER(J9))+--AND(ISNUMBER(E9),ISNUMBER(K9))+--AND(ISNUMBER(F9),ISNUMBER(L9))+--AND(ISNUMBER(G9),ISNUMBER(M9))+--AND(ISNUMBER(H9),ISNUMBER(N9))+--AND(ISNUMBER(I9),ISNUMBER(O9))</f>
        <v>0</v>
      </c>
      <c r="R9" s="31" t="n">
        <f aca="false">IF(AND(ISNUMBER(D9),ISNUMBER(J9)),--(ABS(D9-J9)&lt;=1),0)+IF(AND(ISNUMBER(E9),ISNUMBER(K9)),--(ABS(E9-K9)&lt;=1),0)+IF(AND(ISNUMBER(F9),ISNUMBER(L9)),--(ABS(F9-L9)&lt;=1),0)+IF(AND(ISNUMBER(G9),ISNUMBER(M9)),--(ABS(G9-M9)&lt;=1),0)+IF(AND(ISNUMBER(H9),ISNUMBER(N9)),--(ABS(H9-N9)&lt;=1),0)+IF(AND(ISNUMBER(I9),ISNUMBER(O9)),--(ABS(I9-O9)&lt;=1),0)</f>
        <v>0</v>
      </c>
    </row>
    <row r="10" customFormat="false" ht="15" hidden="false" customHeight="false" outlineLevel="0" collapsed="false">
      <c r="A10" s="31" t="s">
        <v>99</v>
      </c>
      <c r="B10" s="31" t="n">
        <v>1</v>
      </c>
      <c r="C10" s="31" t="str">
        <f aca="false">'AI Quality Scoring'!C23</f>
        <v>38404605125</v>
      </c>
      <c r="D10" s="32"/>
      <c r="E10" s="32"/>
      <c r="F10" s="32"/>
      <c r="G10" s="32"/>
      <c r="H10" s="32"/>
      <c r="I10" s="32"/>
      <c r="J10" s="33" t="n">
        <f aca="false">'AI Quality Scoring'!G23</f>
        <v>0</v>
      </c>
      <c r="K10" s="33" t="n">
        <f aca="false">'AI Quality Scoring'!H23</f>
        <v>1</v>
      </c>
      <c r="L10" s="33" t="n">
        <f aca="false">'AI Quality Scoring'!I23</f>
        <v>1</v>
      </c>
      <c r="M10" s="33" t="n">
        <f aca="false">'AI Quality Scoring'!J23</f>
        <v>2</v>
      </c>
      <c r="N10" s="33" t="n">
        <f aca="false">'AI Quality Scoring'!K23</f>
        <v>1</v>
      </c>
      <c r="O10" s="33" t="n">
        <f aca="false">'AI Quality Scoring'!L23</f>
        <v>0</v>
      </c>
      <c r="P10" s="31" t="n">
        <f aca="false">IF(AND(ISNUMBER(D10),ISNUMBER(J10)),--(D10=J10),0)+IF(AND(ISNUMBER(E10),ISNUMBER(K10)),--(E10=K10),0)+IF(AND(ISNUMBER(F10),ISNUMBER(L10)),--(F10=L10),0)+IF(AND(ISNUMBER(G10),ISNUMBER(M10)),--(G10=M10),0)+IF(AND(ISNUMBER(H10),ISNUMBER(N10)),--(H10=N10),0)+IF(AND(ISNUMBER(I10),ISNUMBER(O10)),--(I10=O10),0)</f>
        <v>0</v>
      </c>
      <c r="Q10" s="31" t="n">
        <f aca="false">--AND(ISNUMBER(D10),ISNUMBER(J10))+--AND(ISNUMBER(E10),ISNUMBER(K10))+--AND(ISNUMBER(F10),ISNUMBER(L10))+--AND(ISNUMBER(G10),ISNUMBER(M10))+--AND(ISNUMBER(H10),ISNUMBER(N10))+--AND(ISNUMBER(I10),ISNUMBER(O10))</f>
        <v>0</v>
      </c>
      <c r="R10" s="31" t="n">
        <f aca="false">IF(AND(ISNUMBER(D10),ISNUMBER(J10)),--(ABS(D10-J10)&lt;=1),0)+IF(AND(ISNUMBER(E10),ISNUMBER(K10)),--(ABS(E10-K10)&lt;=1),0)+IF(AND(ISNUMBER(F10),ISNUMBER(L10)),--(ABS(F10-L10)&lt;=1),0)+IF(AND(ISNUMBER(G10),ISNUMBER(M10)),--(ABS(G10-M10)&lt;=1),0)+IF(AND(ISNUMBER(H10),ISNUMBER(N10)),--(ABS(H10-N10)&lt;=1),0)+IF(AND(ISNUMBER(I10),ISNUMBER(O10)),--(ABS(I10-O10)&lt;=1),0)</f>
        <v>0</v>
      </c>
    </row>
    <row r="11" customFormat="false" ht="15" hidden="false" customHeight="false" outlineLevel="0" collapsed="false">
      <c r="A11" s="31" t="s">
        <v>99</v>
      </c>
      <c r="B11" s="31" t="n">
        <v>4</v>
      </c>
      <c r="C11" s="31" t="str">
        <f aca="false">'AI Quality Scoring'!C26</f>
        <v>38405218950</v>
      </c>
      <c r="D11" s="32"/>
      <c r="E11" s="32"/>
      <c r="F11" s="32"/>
      <c r="G11" s="32"/>
      <c r="H11" s="32"/>
      <c r="I11" s="32"/>
      <c r="J11" s="33" t="n">
        <f aca="false">'AI Quality Scoring'!G26</f>
        <v>2</v>
      </c>
      <c r="K11" s="33" t="n">
        <f aca="false">'AI Quality Scoring'!H26</f>
        <v>2</v>
      </c>
      <c r="L11" s="33" t="n">
        <f aca="false">'AI Quality Scoring'!I26</f>
        <v>2</v>
      </c>
      <c r="M11" s="33" t="n">
        <f aca="false">'AI Quality Scoring'!J26</f>
        <v>2</v>
      </c>
      <c r="N11" s="33" t="n">
        <f aca="false">'AI Quality Scoring'!K26</f>
        <v>2</v>
      </c>
      <c r="O11" s="33" t="n">
        <f aca="false">'AI Quality Scoring'!L26</f>
        <v>2</v>
      </c>
      <c r="P11" s="31" t="n">
        <f aca="false">IF(AND(ISNUMBER(D11),ISNUMBER(J11)),--(D11=J11),0)+IF(AND(ISNUMBER(E11),ISNUMBER(K11)),--(E11=K11),0)+IF(AND(ISNUMBER(F11),ISNUMBER(L11)),--(F11=L11),0)+IF(AND(ISNUMBER(G11),ISNUMBER(M11)),--(G11=M11),0)+IF(AND(ISNUMBER(H11),ISNUMBER(N11)),--(H11=N11),0)+IF(AND(ISNUMBER(I11),ISNUMBER(O11)),--(I11=O11),0)</f>
        <v>0</v>
      </c>
      <c r="Q11" s="31" t="n">
        <f aca="false">--AND(ISNUMBER(D11),ISNUMBER(J11))+--AND(ISNUMBER(E11),ISNUMBER(K11))+--AND(ISNUMBER(F11),ISNUMBER(L11))+--AND(ISNUMBER(G11),ISNUMBER(M11))+--AND(ISNUMBER(H11),ISNUMBER(N11))+--AND(ISNUMBER(I11),ISNUMBER(O11))</f>
        <v>0</v>
      </c>
      <c r="R11" s="31" t="n">
        <f aca="false">IF(AND(ISNUMBER(D11),ISNUMBER(J11)),--(ABS(D11-J11)&lt;=1),0)+IF(AND(ISNUMBER(E11),ISNUMBER(K11)),--(ABS(E11-K11)&lt;=1),0)+IF(AND(ISNUMBER(F11),ISNUMBER(L11)),--(ABS(F11-L11)&lt;=1),0)+IF(AND(ISNUMBER(G11),ISNUMBER(M11)),--(ABS(G11-M11)&lt;=1),0)+IF(AND(ISNUMBER(H11),ISNUMBER(N11)),--(ABS(H11-N11)&lt;=1),0)+IF(AND(ISNUMBER(I11),ISNUMBER(O11)),--(ABS(I11-O11)&lt;=1),0)</f>
        <v>0</v>
      </c>
    </row>
    <row r="12" customFormat="false" ht="15" hidden="false" customHeight="false" outlineLevel="0" collapsed="false">
      <c r="A12" s="31" t="s">
        <v>108</v>
      </c>
      <c r="B12" s="31" t="n">
        <v>2</v>
      </c>
      <c r="C12" s="31" t="str">
        <f aca="false">'AI Quality Scoring'!C28</f>
        <v>38405075984</v>
      </c>
      <c r="D12" s="32"/>
      <c r="E12" s="32"/>
      <c r="F12" s="32"/>
      <c r="G12" s="32"/>
      <c r="H12" s="32"/>
      <c r="I12" s="32"/>
      <c r="J12" s="33" t="n">
        <f aca="false">'AI Quality Scoring'!G28</f>
        <v>2</v>
      </c>
      <c r="K12" s="33" t="n">
        <f aca="false">'AI Quality Scoring'!H28</f>
        <v>1</v>
      </c>
      <c r="L12" s="33" t="n">
        <f aca="false">'AI Quality Scoring'!I28</f>
        <v>1</v>
      </c>
      <c r="M12" s="33" t="n">
        <f aca="false">'AI Quality Scoring'!J28</f>
        <v>2</v>
      </c>
      <c r="N12" s="33" t="n">
        <f aca="false">'AI Quality Scoring'!K28</f>
        <v>2</v>
      </c>
      <c r="O12" s="33" t="n">
        <f aca="false">'AI Quality Scoring'!L28</f>
        <v>2</v>
      </c>
      <c r="P12" s="31" t="n">
        <f aca="false">IF(AND(ISNUMBER(D12),ISNUMBER(J12)),--(D12=J12),0)+IF(AND(ISNUMBER(E12),ISNUMBER(K12)),--(E12=K12),0)+IF(AND(ISNUMBER(F12),ISNUMBER(L12)),--(F12=L12),0)+IF(AND(ISNUMBER(G12),ISNUMBER(M12)),--(G12=M12),0)+IF(AND(ISNUMBER(H12),ISNUMBER(N12)),--(H12=N12),0)+IF(AND(ISNUMBER(I12),ISNUMBER(O12)),--(I12=O12),0)</f>
        <v>0</v>
      </c>
      <c r="Q12" s="31" t="n">
        <f aca="false">--AND(ISNUMBER(D12),ISNUMBER(J12))+--AND(ISNUMBER(E12),ISNUMBER(K12))+--AND(ISNUMBER(F12),ISNUMBER(L12))+--AND(ISNUMBER(G12),ISNUMBER(M12))+--AND(ISNUMBER(H12),ISNUMBER(N12))+--AND(ISNUMBER(I12),ISNUMBER(O12))</f>
        <v>0</v>
      </c>
      <c r="R12" s="31" t="n">
        <f aca="false">IF(AND(ISNUMBER(D12),ISNUMBER(J12)),--(ABS(D12-J12)&lt;=1),0)+IF(AND(ISNUMBER(E12),ISNUMBER(K12)),--(ABS(E12-K12)&lt;=1),0)+IF(AND(ISNUMBER(F12),ISNUMBER(L12)),--(ABS(F12-L12)&lt;=1),0)+IF(AND(ISNUMBER(G12),ISNUMBER(M12)),--(ABS(G12-M12)&lt;=1),0)+IF(AND(ISNUMBER(H12),ISNUMBER(N12)),--(ABS(H12-N12)&lt;=1),0)+IF(AND(ISNUMBER(I12),ISNUMBER(O12)),--(ABS(I12-O12)&lt;=1),0)</f>
        <v>0</v>
      </c>
    </row>
    <row r="13" customFormat="false" ht="15" hidden="false" customHeight="false" outlineLevel="0" collapsed="false">
      <c r="A13" s="31" t="s">
        <v>116</v>
      </c>
      <c r="B13" s="31" t="n">
        <v>1</v>
      </c>
      <c r="C13" s="31" t="str">
        <f aca="false">'AI Quality Scoring'!C30</f>
        <v>38404612132</v>
      </c>
      <c r="D13" s="32"/>
      <c r="E13" s="32"/>
      <c r="F13" s="32"/>
      <c r="G13" s="32"/>
      <c r="H13" s="32"/>
      <c r="I13" s="32"/>
      <c r="J13" s="33" t="n">
        <f aca="false">'AI Quality Scoring'!G30</f>
        <v>2</v>
      </c>
      <c r="K13" s="33" t="n">
        <f aca="false">'AI Quality Scoring'!H30</f>
        <v>1</v>
      </c>
      <c r="L13" s="33" t="n">
        <f aca="false">'AI Quality Scoring'!I30</f>
        <v>2</v>
      </c>
      <c r="M13" s="33" t="n">
        <f aca="false">'AI Quality Scoring'!J30</f>
        <v>1</v>
      </c>
      <c r="N13" s="33" t="n">
        <f aca="false">'AI Quality Scoring'!K30</f>
        <v>2</v>
      </c>
      <c r="O13" s="33" t="n">
        <f aca="false">'AI Quality Scoring'!L30</f>
        <v>1</v>
      </c>
      <c r="P13" s="31" t="n">
        <f aca="false">IF(AND(ISNUMBER(D13),ISNUMBER(J13)),--(D13=J13),0)+IF(AND(ISNUMBER(E13),ISNUMBER(K13)),--(E13=K13),0)+IF(AND(ISNUMBER(F13),ISNUMBER(L13)),--(F13=L13),0)+IF(AND(ISNUMBER(G13),ISNUMBER(M13)),--(G13=M13),0)+IF(AND(ISNUMBER(H13),ISNUMBER(N13)),--(H13=N13),0)+IF(AND(ISNUMBER(I13),ISNUMBER(O13)),--(I13=O13),0)</f>
        <v>0</v>
      </c>
      <c r="Q13" s="31" t="n">
        <f aca="false">--AND(ISNUMBER(D13),ISNUMBER(J13))+--AND(ISNUMBER(E13),ISNUMBER(K13))+--AND(ISNUMBER(F13),ISNUMBER(L13))+--AND(ISNUMBER(G13),ISNUMBER(M13))+--AND(ISNUMBER(H13),ISNUMBER(N13))+--AND(ISNUMBER(I13),ISNUMBER(O13))</f>
        <v>0</v>
      </c>
      <c r="R13" s="31" t="n">
        <f aca="false">IF(AND(ISNUMBER(D13),ISNUMBER(J13)),--(ABS(D13-J13)&lt;=1),0)+IF(AND(ISNUMBER(E13),ISNUMBER(K13)),--(ABS(E13-K13)&lt;=1),0)+IF(AND(ISNUMBER(F13),ISNUMBER(L13)),--(ABS(F13-L13)&lt;=1),0)+IF(AND(ISNUMBER(G13),ISNUMBER(M13)),--(ABS(G13-M13)&lt;=1),0)+IF(AND(ISNUMBER(H13),ISNUMBER(N13)),--(ABS(H13-N13)&lt;=1),0)+IF(AND(ISNUMBER(I13),ISNUMBER(O13)),--(ABS(I13-O13)&lt;=1),0)</f>
        <v>0</v>
      </c>
    </row>
    <row r="14" customFormat="false" ht="15" hidden="false" customHeight="false" outlineLevel="0" collapsed="false">
      <c r="A14" s="31" t="s">
        <v>125</v>
      </c>
      <c r="B14" s="31" t="n">
        <v>3</v>
      </c>
      <c r="C14" s="31" t="str">
        <f aca="false">'AI Quality Scoring'!C35</f>
        <v>38405200842</v>
      </c>
      <c r="D14" s="32"/>
      <c r="E14" s="32"/>
      <c r="F14" s="32"/>
      <c r="G14" s="32"/>
      <c r="H14" s="32"/>
      <c r="I14" s="32"/>
      <c r="J14" s="33" t="n">
        <f aca="false">'AI Quality Scoring'!G35</f>
        <v>2</v>
      </c>
      <c r="K14" s="33" t="n">
        <f aca="false">'AI Quality Scoring'!H35</f>
        <v>2</v>
      </c>
      <c r="L14" s="33" t="n">
        <f aca="false">'AI Quality Scoring'!I35</f>
        <v>2</v>
      </c>
      <c r="M14" s="33" t="n">
        <f aca="false">'AI Quality Scoring'!J35</f>
        <v>2</v>
      </c>
      <c r="N14" s="33" t="n">
        <f aca="false">'AI Quality Scoring'!K35</f>
        <v>2</v>
      </c>
      <c r="O14" s="33" t="n">
        <f aca="false">'AI Quality Scoring'!L35</f>
        <v>2</v>
      </c>
      <c r="P14" s="31" t="n">
        <f aca="false">IF(AND(ISNUMBER(D14),ISNUMBER(J14)),--(D14=J14),0)+IF(AND(ISNUMBER(E14),ISNUMBER(K14)),--(E14=K14),0)+IF(AND(ISNUMBER(F14),ISNUMBER(L14)),--(F14=L14),0)+IF(AND(ISNUMBER(G14),ISNUMBER(M14)),--(G14=M14),0)+IF(AND(ISNUMBER(H14),ISNUMBER(N14)),--(H14=N14),0)+IF(AND(ISNUMBER(I14),ISNUMBER(O14)),--(I14=O14),0)</f>
        <v>0</v>
      </c>
      <c r="Q14" s="31" t="n">
        <f aca="false">--AND(ISNUMBER(D14),ISNUMBER(J14))+--AND(ISNUMBER(E14),ISNUMBER(K14))+--AND(ISNUMBER(F14),ISNUMBER(L14))+--AND(ISNUMBER(G14),ISNUMBER(M14))+--AND(ISNUMBER(H14),ISNUMBER(N14))+--AND(ISNUMBER(I14),ISNUMBER(O14))</f>
        <v>0</v>
      </c>
      <c r="R14" s="31" t="n">
        <f aca="false">IF(AND(ISNUMBER(D14),ISNUMBER(J14)),--(ABS(D14-J14)&lt;=1),0)+IF(AND(ISNUMBER(E14),ISNUMBER(K14)),--(ABS(E14-K14)&lt;=1),0)+IF(AND(ISNUMBER(F14),ISNUMBER(L14)),--(ABS(F14-L14)&lt;=1),0)+IF(AND(ISNUMBER(G14),ISNUMBER(M14)),--(ABS(G14-M14)&lt;=1),0)+IF(AND(ISNUMBER(H14),ISNUMBER(N14)),--(ABS(H14-N14)&lt;=1),0)+IF(AND(ISNUMBER(I14),ISNUMBER(O14)),--(ABS(I14-O14)&lt;=1),0)</f>
        <v>0</v>
      </c>
    </row>
    <row r="15" customFormat="false" ht="15" hidden="false" customHeight="false" outlineLevel="0" collapsed="false">
      <c r="A15" s="31" t="s">
        <v>132</v>
      </c>
      <c r="B15" s="31" t="n">
        <v>1</v>
      </c>
      <c r="C15" s="31" t="str">
        <f aca="false">'AI Quality Scoring'!C36</f>
        <v>38404619147</v>
      </c>
      <c r="D15" s="32"/>
      <c r="E15" s="32"/>
      <c r="F15" s="32"/>
      <c r="G15" s="32"/>
      <c r="H15" s="32"/>
      <c r="I15" s="32"/>
      <c r="J15" s="33" t="n">
        <f aca="false">'AI Quality Scoring'!G36</f>
        <v>0</v>
      </c>
      <c r="K15" s="33" t="n">
        <f aca="false">'AI Quality Scoring'!H36</f>
        <v>1</v>
      </c>
      <c r="L15" s="33" t="str">
        <f aca="false">'AI Quality Scoring'!I36</f>
        <v>n/a</v>
      </c>
      <c r="M15" s="33" t="str">
        <f aca="false">'AI Quality Scoring'!J36</f>
        <v>n/a</v>
      </c>
      <c r="N15" s="33" t="str">
        <f aca="false">'AI Quality Scoring'!K36</f>
        <v>n/a</v>
      </c>
      <c r="O15" s="33" t="n">
        <f aca="false">'AI Quality Scoring'!L36</f>
        <v>0</v>
      </c>
      <c r="P15" s="31" t="n">
        <f aca="false">IF(AND(ISNUMBER(D15),ISNUMBER(J15)),--(D15=J15),0)+IF(AND(ISNUMBER(E15),ISNUMBER(K15)),--(E15=K15),0)+IF(AND(ISNUMBER(F15),ISNUMBER(L15)),--(F15=L15),0)+IF(AND(ISNUMBER(G15),ISNUMBER(M15)),--(G15=M15),0)+IF(AND(ISNUMBER(H15),ISNUMBER(N15)),--(H15=N15),0)+IF(AND(ISNUMBER(I15),ISNUMBER(O15)),--(I15=O15),0)</f>
        <v>0</v>
      </c>
      <c r="Q15" s="31" t="n">
        <f aca="false">--AND(ISNUMBER(D15),ISNUMBER(J15))+--AND(ISNUMBER(E15),ISNUMBER(K15))+--AND(ISNUMBER(F15),ISNUMBER(L15))+--AND(ISNUMBER(G15),ISNUMBER(M15))+--AND(ISNUMBER(H15),ISNUMBER(N15))+--AND(ISNUMBER(I15),ISNUMBER(O15))</f>
        <v>0</v>
      </c>
      <c r="R15" s="31" t="n">
        <f aca="false">IF(AND(ISNUMBER(D15),ISNUMBER(J15)),--(ABS(D15-J15)&lt;=1),0)+IF(AND(ISNUMBER(E15),ISNUMBER(K15)),--(ABS(E15-K15)&lt;=1),0)+IF(AND(ISNUMBER(F15),ISNUMBER(L15)),--(ABS(F15-L15)&lt;=1),0)+IF(AND(ISNUMBER(G15),ISNUMBER(M15)),--(ABS(G15-M15)&lt;=1),0)+IF(AND(ISNUMBER(H15),ISNUMBER(N15)),--(ABS(H15-N15)&lt;=1),0)+IF(AND(ISNUMBER(I15),ISNUMBER(O15)),--(ABS(I15-O15)&lt;=1),0)</f>
        <v>0</v>
      </c>
    </row>
    <row r="16" customFormat="false" ht="15" hidden="false" customHeight="false" outlineLevel="0" collapsed="false">
      <c r="A16" s="31" t="s">
        <v>132</v>
      </c>
      <c r="B16" s="31" t="n">
        <v>2</v>
      </c>
      <c r="C16" s="31" t="str">
        <f aca="false">'AI Quality Scoring'!C37</f>
        <v>38405103514</v>
      </c>
      <c r="D16" s="32"/>
      <c r="E16" s="32"/>
      <c r="F16" s="32"/>
      <c r="G16" s="32"/>
      <c r="H16" s="32"/>
      <c r="I16" s="32"/>
      <c r="J16" s="33" t="n">
        <f aca="false">'AI Quality Scoring'!G37</f>
        <v>1</v>
      </c>
      <c r="K16" s="33" t="n">
        <f aca="false">'AI Quality Scoring'!H37</f>
        <v>1</v>
      </c>
      <c r="L16" s="33" t="str">
        <f aca="false">'AI Quality Scoring'!I37</f>
        <v>n/a</v>
      </c>
      <c r="M16" s="33" t="str">
        <f aca="false">'AI Quality Scoring'!J37</f>
        <v>n/a</v>
      </c>
      <c r="N16" s="33" t="str">
        <f aca="false">'AI Quality Scoring'!K37</f>
        <v>n/a</v>
      </c>
      <c r="O16" s="33" t="n">
        <f aca="false">'AI Quality Scoring'!L37</f>
        <v>1</v>
      </c>
      <c r="P16" s="31" t="n">
        <f aca="false">IF(AND(ISNUMBER(D16),ISNUMBER(J16)),--(D16=J16),0)+IF(AND(ISNUMBER(E16),ISNUMBER(K16)),--(E16=K16),0)+IF(AND(ISNUMBER(F16),ISNUMBER(L16)),--(F16=L16),0)+IF(AND(ISNUMBER(G16),ISNUMBER(M16)),--(G16=M16),0)+IF(AND(ISNUMBER(H16),ISNUMBER(N16)),--(H16=N16),0)+IF(AND(ISNUMBER(I16),ISNUMBER(O16)),--(I16=O16),0)</f>
        <v>0</v>
      </c>
      <c r="Q16" s="31" t="n">
        <f aca="false">--AND(ISNUMBER(D16),ISNUMBER(J16))+--AND(ISNUMBER(E16),ISNUMBER(K16))+--AND(ISNUMBER(F16),ISNUMBER(L16))+--AND(ISNUMBER(G16),ISNUMBER(M16))+--AND(ISNUMBER(H16),ISNUMBER(N16))+--AND(ISNUMBER(I16),ISNUMBER(O16))</f>
        <v>0</v>
      </c>
      <c r="R16" s="31" t="n">
        <f aca="false">IF(AND(ISNUMBER(D16),ISNUMBER(J16)),--(ABS(D16-J16)&lt;=1),0)+IF(AND(ISNUMBER(E16),ISNUMBER(K16)),--(ABS(E16-K16)&lt;=1),0)+IF(AND(ISNUMBER(F16),ISNUMBER(L16)),--(ABS(F16-L16)&lt;=1),0)+IF(AND(ISNUMBER(G16),ISNUMBER(M16)),--(ABS(G16-M16)&lt;=1),0)+IF(AND(ISNUMBER(H16),ISNUMBER(N16)),--(ABS(H16-N16)&lt;=1),0)+IF(AND(ISNUMBER(I16),ISNUMBER(O16)),--(ABS(I16-O16)&lt;=1),0)</f>
        <v>0</v>
      </c>
    </row>
    <row r="18" customFormat="false" ht="15" hidden="false" customHeight="false" outlineLevel="0" collapsed="false">
      <c r="A18" s="21" t="s">
        <v>568</v>
      </c>
      <c r="D18" s="30" t="str">
        <f aca="false">IF(SUM(Q7:Q16)=0,"not yet scored",SUM(P7:P16)/SUM(Q7:Q16))</f>
        <v>not yet scored</v>
      </c>
    </row>
    <row r="19" customFormat="false" ht="15" hidden="false" customHeight="false" outlineLevel="0" collapsed="false">
      <c r="A19" s="21" t="s">
        <v>569</v>
      </c>
      <c r="D19" s="30" t="str">
        <f aca="false">IF(SUM(Q7:Q16)=0,"not yet scored",SUM(R7:R16)/SUM(Q7:Q16))</f>
        <v>not yet scored</v>
      </c>
    </row>
    <row r="20" customFormat="false" ht="15" hidden="false" customHeight="false" outlineLevel="0" collapsed="false">
      <c r="A20" s="27" t="s">
        <v>570</v>
      </c>
    </row>
  </sheetData>
  <mergeCells count="1">
    <mergeCell ref="A2:R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1" width="30"/>
  </cols>
  <sheetData>
    <row r="1" customFormat="false" ht="15" hidden="false" customHeight="true" outlineLevel="0" collapsed="false">
      <c r="A1" s="5" t="s">
        <v>10</v>
      </c>
      <c r="B1" s="5" t="s">
        <v>571</v>
      </c>
      <c r="C1" s="5" t="s">
        <v>572</v>
      </c>
      <c r="D1" s="5" t="s">
        <v>573</v>
      </c>
      <c r="E1" s="5" t="s">
        <v>574</v>
      </c>
    </row>
    <row r="2" customFormat="false" ht="15" hidden="false" customHeight="true" outlineLevel="0" collapsed="false">
      <c r="A2" s="6" t="s">
        <v>25</v>
      </c>
      <c r="B2" s="6" t="s">
        <v>575</v>
      </c>
      <c r="C2" s="6" t="s">
        <v>576</v>
      </c>
      <c r="D2" s="6" t="s">
        <v>576</v>
      </c>
      <c r="E2" s="6" t="s">
        <v>576</v>
      </c>
    </row>
    <row r="3" customFormat="false" ht="15" hidden="false" customHeight="true" outlineLevel="0" collapsed="false">
      <c r="A3" s="6" t="s">
        <v>38</v>
      </c>
      <c r="B3" s="6" t="s">
        <v>577</v>
      </c>
      <c r="C3" s="6" t="s">
        <v>578</v>
      </c>
      <c r="D3" s="6" t="s">
        <v>579</v>
      </c>
      <c r="E3" s="6" t="s">
        <v>579</v>
      </c>
    </row>
    <row r="4" customFormat="false" ht="15" hidden="false" customHeight="true" outlineLevel="0" collapsed="false">
      <c r="A4" s="6" t="s">
        <v>51</v>
      </c>
      <c r="B4" s="6" t="s">
        <v>580</v>
      </c>
      <c r="C4" s="6" t="s">
        <v>578</v>
      </c>
      <c r="D4" s="6" t="s">
        <v>579</v>
      </c>
      <c r="E4" s="6" t="s">
        <v>579</v>
      </c>
    </row>
    <row r="5" customFormat="false" ht="15" hidden="false" customHeight="true" outlineLevel="0" collapsed="false">
      <c r="A5" s="6" t="s">
        <v>61</v>
      </c>
      <c r="B5" s="6" t="s">
        <v>581</v>
      </c>
      <c r="C5" s="6" t="s">
        <v>578</v>
      </c>
      <c r="D5" s="6" t="s">
        <v>579</v>
      </c>
      <c r="E5" s="6" t="s">
        <v>582</v>
      </c>
    </row>
    <row r="6" customFormat="false" ht="15" hidden="false" customHeight="true" outlineLevel="0" collapsed="false">
      <c r="A6" s="6" t="s">
        <v>71</v>
      </c>
      <c r="B6" s="6" t="s">
        <v>583</v>
      </c>
      <c r="C6" s="6" t="s">
        <v>584</v>
      </c>
      <c r="D6" s="6" t="s">
        <v>585</v>
      </c>
      <c r="E6" s="6" t="s">
        <v>586</v>
      </c>
    </row>
    <row r="7" customFormat="false" ht="15" hidden="false" customHeight="true" outlineLevel="0" collapsed="false">
      <c r="A7" s="6" t="s">
        <v>80</v>
      </c>
      <c r="B7" s="6" t="s">
        <v>587</v>
      </c>
      <c r="C7" s="6" t="s">
        <v>584</v>
      </c>
      <c r="D7" s="6" t="s">
        <v>585</v>
      </c>
      <c r="E7" s="6" t="s">
        <v>586</v>
      </c>
    </row>
    <row r="8" customFormat="false" ht="15" hidden="false" customHeight="true" outlineLevel="0" collapsed="false">
      <c r="A8" s="6" t="s">
        <v>89</v>
      </c>
      <c r="B8" s="6" t="s">
        <v>588</v>
      </c>
      <c r="C8" s="6" t="s">
        <v>584</v>
      </c>
      <c r="D8" s="6" t="s">
        <v>584</v>
      </c>
      <c r="E8" s="6" t="s">
        <v>579</v>
      </c>
    </row>
    <row r="9" customFormat="false" ht="26.25" hidden="false" customHeight="true" outlineLevel="0" collapsed="false">
      <c r="A9" s="6" t="s">
        <v>99</v>
      </c>
      <c r="B9" s="6" t="s">
        <v>589</v>
      </c>
      <c r="C9" s="6" t="s">
        <v>578</v>
      </c>
      <c r="D9" s="6" t="s">
        <v>585</v>
      </c>
      <c r="E9" s="6" t="s">
        <v>586</v>
      </c>
    </row>
    <row r="10" customFormat="false" ht="15" hidden="false" customHeight="true" outlineLevel="0" collapsed="false">
      <c r="A10" s="6" t="s">
        <v>108</v>
      </c>
      <c r="B10" s="6" t="s">
        <v>590</v>
      </c>
      <c r="C10" s="6" t="s">
        <v>578</v>
      </c>
      <c r="D10" s="6" t="s">
        <v>578</v>
      </c>
      <c r="E10" s="6" t="s">
        <v>586</v>
      </c>
    </row>
    <row r="11" customFormat="false" ht="26.25" hidden="false" customHeight="true" outlineLevel="0" collapsed="false">
      <c r="A11" s="6" t="s">
        <v>116</v>
      </c>
      <c r="B11" s="6" t="s">
        <v>117</v>
      </c>
      <c r="C11" s="6" t="s">
        <v>584</v>
      </c>
      <c r="D11" s="6" t="s">
        <v>578</v>
      </c>
      <c r="E11" s="6" t="s">
        <v>579</v>
      </c>
    </row>
    <row r="12" customFormat="false" ht="26.25" hidden="false" customHeight="true" outlineLevel="0" collapsed="false">
      <c r="A12" s="6" t="s">
        <v>125</v>
      </c>
      <c r="B12" s="6" t="s">
        <v>591</v>
      </c>
      <c r="C12" s="6" t="s">
        <v>584</v>
      </c>
      <c r="D12" s="6" t="s">
        <v>578</v>
      </c>
      <c r="E12" s="6" t="s">
        <v>582</v>
      </c>
    </row>
    <row r="13" customFormat="false" ht="26.25" hidden="false" customHeight="true" outlineLevel="0" collapsed="false">
      <c r="A13" s="6" t="s">
        <v>132</v>
      </c>
      <c r="B13" s="6" t="s">
        <v>592</v>
      </c>
      <c r="C13" s="6" t="s">
        <v>578</v>
      </c>
      <c r="D13" s="6" t="s">
        <v>579</v>
      </c>
      <c r="E13" s="6" t="s">
        <v>586</v>
      </c>
    </row>
    <row r="15" customFormat="false" ht="15" hidden="false" customHeight="true" outlineLevel="0" collapsed="false">
      <c r="A15" s="15" t="s">
        <v>593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2026-10-13T13:50:15Z</dcterms:created>
  <dc:creator>openpyxl</dc:creator>
  <dc:description/>
  <dc:language>en-US</dc:language>
  <cp:lastModifiedBy/>
  <dcterms:modified xsi:type="dcterms:W3CDTF">2026-10-13T14:10:17Z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