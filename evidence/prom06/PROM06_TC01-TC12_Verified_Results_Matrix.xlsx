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Verified Matrix" sheetId="2" state="visible" r:id="rId4"/>
    <sheet name="Summary" sheetId="3" state="visible" r:id="rId5"/>
    <sheet name="Independent AI Runs" sheetId="4" state="visible" r:id="rId6"/>
    <sheet name="Scanner Results" sheetId="5" state="visible" r:id="rId7"/>
    <sheet name="Hybrid Runs (Condition C)" sheetId="6" state="visible" r:id="rId8"/>
    <sheet name="Decisions &amp; Caveats" sheetId="7" state="visible" r:id="rId9"/>
    <sheet name="Draft Matrix (original)" sheetId="8" state="visible" r:id="rId10"/>
  </sheets>
  <definedNames>
    <definedName function="false" hidden="true" localSheetId="3" name="_xlnm._FilterDatabase" vbProcedure="false">'Independent AI Runs'!$A$1:$M$38</definedName>
    <definedName function="false" hidden="true" localSheetId="1" name="_xlnm._FilterDatabase" vbProcedure="false">'Verified Matrix'!$A$1:$O$13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<sst xmlns="http://schemas.openxmlformats.org/spreadsheetml/2006/main" count="899" uniqueCount="428">
  <si>
    <t xml:space="preserve">PROM06 TC01–TC12 Verified Results Matrix</t>
  </si>
  <si>
    <t xml:space="preserve">Built 13 Oct 2026 from: PR bot comments and run artifacts (PRs #46–#68 Condition C; PRs #70–#81 independent), experiment-metadata.json for 37 independent runs, local reproduction with Checkov 3.3.1 and tfsec 1.28.14, Ground-Truth Matrix v1.0 and Confluence PROM06-TC-Evidences v72 (13 Oct 10:47).</t>
  </si>
  <si>
    <t xml:space="preserve">Evidence hierarchy used: raw run artifacts &gt; PR bot comments &gt; Confluence/screenshots &gt; draft matrix.</t>
  </si>
  <si>
    <t xml:space="preserve">Classification codes (target condition only):</t>
  </si>
  <si>
    <t xml:space="preserve">TP = target condition correctly reported   FN = target condition not reported   TN = no finding on a case with no intended weakness</t>
  </si>
  <si>
    <t xml:space="preserve">FP = finding that treats an acceptable configuration as a defect   PARTIAL = reported inconsistently across runs   CONTEXT = context-sensitive, researcher decision needed   UNVERIFIED = evidence conflict, not usable</t>
  </si>
  <si>
    <t xml:space="preserve">AI (independent) = post-PR #69 workflow, scanner_findings_supplied_to_ai = false in every run's metadata, 3 successful runs per case (TC08: 3 successful + 1 failed). AI (hybrid) = earlier Condition C runs whose prompt contained normalised Checkov/tfsec findings.</t>
  </si>
  <si>
    <t xml:space="preserve">Severity labels are each tool's own scale and are not equivalent across tools (Checkov OSS JSON has no severity).</t>
  </si>
  <si>
    <t xml:space="preserve">Sheets: Verified Matrix · Summary (formula-driven counts) · Independent AI Runs · Scanner Results · Hybrid Runs (Condition C) · Decisions &amp; Caveats · Draft Matrix (original).</t>
  </si>
  <si>
    <t xml:space="preserve">Decisions &amp; Caveats: all ten proposed treatments agreed by AB on 13 Oct 2026; classifications in 'Verified Matrix' reflect them. Matrix frozen pending AI explanation/remediation scoring.</t>
  </si>
  <si>
    <t xml:space="preserve">Test case</t>
  </si>
  <si>
    <t xml:space="preserve">Scenario (Confluence v72)</t>
  </si>
  <si>
    <t xml:space="preserve">Ground truth (summary)</t>
  </si>
  <si>
    <t xml:space="preserve">Case type</t>
  </si>
  <si>
    <t xml:space="preserve">Checkov 3.3.1 observed</t>
  </si>
  <si>
    <t xml:space="preserve">Checkov class.</t>
  </si>
  <si>
    <t xml:space="preserve">tfsec 1.28.14 observed</t>
  </si>
  <si>
    <t xml:space="preserve">tfsec class.</t>
  </si>
  <si>
    <t xml:space="preserve">AI independent (3 runs)</t>
  </si>
  <si>
    <t xml:space="preserve">AI indep. class.</t>
  </si>
  <si>
    <t xml:space="preserve">AI hybrid / Condition C (earlier)</t>
  </si>
  <si>
    <t xml:space="preserve">AI hybrid class.</t>
  </si>
  <si>
    <t xml:space="preserve">Extra / unrelated findings</t>
  </si>
  <si>
    <t xml:space="preserve">Evidence references</t>
  </si>
  <si>
    <t xml:space="preserve">Caveats</t>
  </si>
  <si>
    <t xml:space="preserve">TC01</t>
  </si>
  <si>
    <t xml:space="preserve">Secure baseline</t>
  </si>
  <si>
    <t xml:space="preserve">No intentional vulnerability (false-positive baseline).</t>
  </si>
  <si>
    <t xml:space="preserve">Secure</t>
  </si>
  <si>
    <t xml:space="preserve">7 passed / 0 failed</t>
  </si>
  <si>
    <t xml:space="preserve">TN</t>
  </si>
  <si>
    <t xml:space="preserve">0 findings</t>
  </si>
  <si>
    <t xml:space="preserve">0 confirmed in 3/3 runs (100/100). Only FALSE_POSITIVE/INFORMATIONAL notes in the artifact.</t>
  </si>
  <si>
    <t xml:space="preserve">Conflicting: PR #46 (older fixture) 2 confirmed MEDIUM (TAG-001, LOG-001), 55/100; Confluence 'clean' screenshot from PR #55 cannot be tied to its own run.</t>
  </si>
  <si>
    <t xml:space="preserve">UNVERIFIED</t>
  </si>
  <si>
    <t xml:space="preserve">None confirmed.</t>
  </si>
  <si>
    <t xml:space="preserve">PR #70, 92ab884, runs 38404582550 / 38405003190 / 38405111880; hybrid PR #46, #55</t>
  </si>
  <si>
    <t xml:space="preserve">Baseline evolved after PR #46 AI findings (tags, logging, deny rules) and prompt was adjusted — disclose as validity threat. TC01 rerun branch has a comment-only edit.</t>
  </si>
  <si>
    <t xml:space="preserve">TC02</t>
  </si>
  <si>
    <t xml:space="preserve">Unrestricted SSH Access</t>
  </si>
  <si>
    <t xml:space="preserve">Inbound TCP/22 from 0.0.0.0/0 — genuine management-plane exposure.</t>
  </si>
  <si>
    <t xml:space="preserve">Vulnerable</t>
  </si>
  <si>
    <t xml:space="preserve">7/0 — CKV_AZURE_10 evaluated and PASSED</t>
  </si>
  <si>
    <t xml:space="preserve">FN</t>
  </si>
  <si>
    <t xml:space="preserve">AVD-AZU-0047 + AVD-AZU-0050 (CRITICAL)</t>
  </si>
  <si>
    <t xml:space="preserve">TP</t>
  </si>
  <si>
    <t xml:space="preserve">HIGH SSH finding in 3/3 runs (70/100).</t>
  </si>
  <si>
    <t xml:space="preserve">CRITICAL SSH, cited tfsec IDs (PR #56).</t>
  </si>
  <si>
    <t xml:space="preserve">tfsec: 2 rules for one condition (normalise to 1).</t>
  </si>
  <si>
    <t xml:space="preserve">PR #71, 3eda6f7; hybrid PR #56</t>
  </si>
  <si>
    <t xml:space="preserve">Checkov passes because '0.0.0.0/0' is not matched as internet; CKV_AZURE_10 fails when the source is '*' (local probe).</t>
  </si>
  <si>
    <t xml:space="preserve">TC03</t>
  </si>
  <si>
    <t xml:space="preserve">Unrestricted RDP Access</t>
  </si>
  <si>
    <t xml:space="preserve">Inbound TCP/3389 from 0.0.0.0/0 — genuine management-plane exposure.</t>
  </si>
  <si>
    <t xml:space="preserve">7/0 — CKV_AZURE_9 evaluated and PASSED</t>
  </si>
  <si>
    <t xml:space="preserve">AVD-AZU-0048 + AVD-AZU-0047 (CRITICAL)</t>
  </si>
  <si>
    <t xml:space="preserve">HIGH RDP finding in 3/3 runs; run 3 added a duplicate SEC-001 policy finding (40/100).</t>
  </si>
  <si>
    <t xml:space="preserve">CRITICAL RDP, cited tfsec IDs (PR #57).</t>
  </si>
  <si>
    <t xml:space="preserve">AI run 3: duplicate SEC-001 finding for the same condition; tfsec: 2 rules, 1 condition.</t>
  </si>
  <si>
    <t xml:space="preserve">PR #72, 27789d9; hybrid PR #57</t>
  </si>
  <si>
    <t xml:space="preserve">Same Checkov source-matching behaviour as TC02 (inferred; probe run on TC02 only).</t>
  </si>
  <si>
    <t xml:space="preserve">TC04</t>
  </si>
  <si>
    <t xml:space="preserve">Public HTTP Ingress</t>
  </si>
  <si>
    <t xml:space="preserve">Inbound TCP/80 from 0.0.0.0/0 — intended TC04 weakness (Confluence v72).</t>
  </si>
  <si>
    <t xml:space="preserve">7/0 — CKV_AZURE_160 evaluated and PASSED</t>
  </si>
  <si>
    <t xml:space="preserve">AVD-AZU-0047 (CRITICAL, generic public ingress)</t>
  </si>
  <si>
    <t xml:space="preserve">HIGH HTTP finding in 3/3 runs (70/100).</t>
  </si>
  <si>
    <t xml:space="preserve">HIGH HTTP, cited tfsec ID (PR #58).</t>
  </si>
  <si>
    <t xml:space="preserve">—</t>
  </si>
  <si>
    <t xml:space="preserve">PR #73, cbc6855; hybrid PR #58</t>
  </si>
  <si>
    <t xml:space="preserve">GT v1.0 described TC04 as context-dependent; Confluence v72 fixes it as an intended weakness. tfsec rule is not port-specific.</t>
  </si>
  <si>
    <t xml:space="preserve">TC05</t>
  </si>
  <si>
    <t xml:space="preserve">Missing NSG Association</t>
  </si>
  <si>
    <t xml:space="preserve">NSG exists but is not associated with the subnet — control not effective.</t>
  </si>
  <si>
    <t xml:space="preserve">CKV2_AZURE_31 (6 passed / 1 failed)</t>
  </si>
  <si>
    <t xml:space="preserve">NET-001 finding in 3/3 runs (HIGH, HIGH, MEDIUM).</t>
  </si>
  <si>
    <t xml:space="preserve">MEDIUM NET-001, cited Checkov ID (PR #59).</t>
  </si>
  <si>
    <t xml:space="preserve">AI: NEEDS_CONTEXT note in every run about the stale 'Custom resolver' DNS comment (fixture artefact).</t>
  </si>
  <si>
    <t xml:space="preserve">PR #74, 14486bd; hybrid PR #59</t>
  </si>
  <si>
    <t xml:space="preserve">Severity varied across identical runs.</t>
  </si>
  <si>
    <t xml:space="preserve">TC06</t>
  </si>
  <si>
    <t xml:space="preserve">Public DNS Configuration</t>
  </si>
  <si>
    <t xml:space="preserve">VNet uses public resolver 8.8.8.8 contrary to NET-002 / CKV_AZURE_183.</t>
  </si>
  <si>
    <t xml:space="preserve">CKV_AZURE_183 + CKV_AZURE_182 (5/2)</t>
  </si>
  <si>
    <t xml:space="preserve">MEDIUM NET-002 finding in 3/3 runs (85/100).</t>
  </si>
  <si>
    <t xml:space="preserve">MEDIUM NET-002, cited Checkov IDs (PR #61).</t>
  </si>
  <si>
    <t xml:space="preserve">Checkov CKV_AZURE_182 (≥2 DNS endpoints) is related but not the target condition.</t>
  </si>
  <si>
    <t xml:space="preserve">PR #75, eb51ee9; hybrid PR #61</t>
  </si>
  <si>
    <t xml:space="preserve">Ground truth depends on the project baseline (NET-002); public DNS is not inherently insecure.</t>
  </si>
  <si>
    <t xml:space="preserve">TC07</t>
  </si>
  <si>
    <t xml:space="preserve">Weak TLS Configuration</t>
  </si>
  <si>
    <t xml:space="preserve">Storage account min_tls_version = TLS1_0 below TLS 1.2 minimum.</t>
  </si>
  <si>
    <t xml:space="preserve">CKV_AZURE_44 among 11 failed (11/11)</t>
  </si>
  <si>
    <t xml:space="preserve">AVD-AZU-0011 (CRITICAL)</t>
  </si>
  <si>
    <t xml:space="preserve">HIGH TLS finding in 3/3 runs + LOW TAG-001 (65/100).</t>
  </si>
  <si>
    <t xml:space="preserve">CRITICAL TLS + 2 extra findings (PR #63).</t>
  </si>
  <si>
    <t xml:space="preserve">Checkov: 10 unrelated storage checks fail. AI: valid LOW TAG-001 (storage is taggable) + NEEDS_CONTEXT public access.</t>
  </si>
  <si>
    <t xml:space="preserve">PR #76, b6e93b7; hybrid PR #63</t>
  </si>
  <si>
    <t xml:space="preserve">Fixture not single-variable (new storage account, hard-coded RG, non-standard tags); Confluence scenario said TC12 HTTPS service would be reused.</t>
  </si>
  <si>
    <t xml:space="preserve">TC08</t>
  </si>
  <si>
    <t xml:space="preserve">Missing Diagnostic/Audit Logging</t>
  </si>
  <si>
    <t xml:space="preserve">NSG diagnostic setting removed; logs not forwarded to Log Analytics (LOG-001).</t>
  </si>
  <si>
    <t xml:space="preserve">7/0</t>
  </si>
  <si>
    <t xml:space="preserve">Raised in all 4 runs but classified inconsistently: FALSE_POSITIVE (output rejected, run failed), NEEDS_CONTEXT ×2, CONFIRMED ×1.</t>
  </si>
  <si>
    <t xml:space="preserve">PARTIAL</t>
  </si>
  <si>
    <t xml:space="preserve">MEDIUM LOG-001 confirmed (PR #64).</t>
  </si>
  <si>
    <t xml:space="preserve">PR #77, c86e4d5, runs 38404605125 (failed) / 38405066857 / 38405174844 / 38405218950; hybrid PR #64</t>
  </si>
  <si>
    <t xml:space="preserve">Only the AI is given LOG-001; failed run's summary wrongly claimed the absence was intentional.</t>
  </si>
  <si>
    <t xml:space="preserve">TC09</t>
  </si>
  <si>
    <t xml:space="preserve">Plaintext Credentials (dummy)</t>
  </si>
  <si>
    <t xml:space="preserve">Dummy credential-shaped string hard-coded in a Terraform local; value is non-sensitive test data.</t>
  </si>
  <si>
    <t xml:space="preserve">7/0 (Checkov run with --framework terraform; secrets framework not run)</t>
  </si>
  <si>
    <t xml:space="preserve">MEDIUM hard-coded secret finding in 3/3 runs (85/100).</t>
  </si>
  <si>
    <t xml:space="preserve">MEDIUM finding (PR #65).</t>
  </si>
  <si>
    <t xml:space="preserve">PR #78, 277a730; hybrid PR #65</t>
  </si>
  <si>
    <t xml:space="preserve">Checkov non-detection reflects pipeline configuration as much as tool capability. Explanation accuracy (state claims) to be scored in step 2.</t>
  </si>
  <si>
    <t xml:space="preserve">TC10</t>
  </si>
  <si>
    <t xml:space="preserve">Excessive Azure IAM Permissions</t>
  </si>
  <si>
    <t xml:space="preserve">Custom role actions = ['*'] at subscription scope exceeds minimum.</t>
  </si>
  <si>
    <t xml:space="preserve">CKV_AZURE_39 (7/1)</t>
  </si>
  <si>
    <t xml:space="preserve">HIGH wildcard-role finding in 3/3 runs; 2/3 runs added LOW TAG-001.</t>
  </si>
  <si>
    <t xml:space="preserve">Run 1: 2 × CRITICAL (40/100); rerun same commit: 1 × HIGH (70/100) (PR #66).</t>
  </si>
  <si>
    <t xml:space="preserve">AI TAG-001 on azurerm_role_definition (resource has no tags) — AI false positive in 2/3 runs.</t>
  </si>
  <si>
    <t xml:space="preserve">PR #79, bd8a61f; hybrid PR #66 (2 attempts)</t>
  </si>
  <si>
    <t xml:space="preserve">Matrix 'critical' reflected hybrid run 1 only.</t>
  </si>
  <si>
    <t xml:space="preserve">TC11</t>
  </si>
  <si>
    <t xml:space="preserve">Multi-file, context-dependent weakness</t>
  </si>
  <si>
    <t xml:space="preserve">Wildcard role vs read-only actions documented in tc11_requirements.tf.</t>
  </si>
  <si>
    <t xml:space="preserve">HIGH finding in 3/3 runs; all 3 cite tc11_requirements.tf.</t>
  </si>
  <si>
    <t xml:space="preserve">HIGH finding ×2, cited Checkov (PR #67).</t>
  </si>
  <si>
    <t xml:space="preserve">PR #80, 3dd9a04; hybrid PR #67 (2 attempts)</t>
  </si>
  <si>
    <t xml:space="preserve">Construct validity: the wildcard alone triggers detection, so this does not isolate multi-file reasoning. Confluence heading 'AI-only (B)' is wrong — evidence is Condition C.</t>
  </si>
  <si>
    <t xml:space="preserve">TC12</t>
  </si>
  <si>
    <t xml:space="preserve">Legitimate Public HTTPS Service</t>
  </si>
  <si>
    <t xml:space="preserve">Public TCP/443 is intentional; exposure alone is not a vulnerability.</t>
  </si>
  <si>
    <t xml:space="preserve">Legitimate</t>
  </si>
  <si>
    <t xml:space="preserve">11 passed / 0 failed</t>
  </si>
  <si>
    <t xml:space="preserve">AVD-AZU-0047 (CRITICAL) on the intended rule</t>
  </si>
  <si>
    <t xml:space="preserve">CONTEXT</t>
  </si>
  <si>
    <t xml:space="preserve">Varied: run 1 blocked (HIGH + MEDIUM SEC-001 + LOW TAG-001, 50/100); run 2 LOW TAG-001 only (95); run 3 none (100), said SEC-001 justified and TAG-001 n/a.</t>
  </si>
  <si>
    <t xml:space="preserve">MEDIUM SEC-001 scope concern (PR #68).</t>
  </si>
  <si>
    <t xml:space="preserve">AI TAG-001 on azurerm_network_security_rule (resource has no tags) — AI false positive in 2/3 runs.</t>
  </si>
  <si>
    <t xml:space="preserve">PR #81, 9cee1fe; hybrid PR #68</t>
  </si>
  <si>
    <t xml:space="preserve">Decide whether the shared-NSG/wildcard-destination scope concern counts as a separate weakness; until then tfsec and AI are CONTEXT.</t>
  </si>
  <si>
    <t xml:space="preserve">Descriptive counts (formula-driven from 'Verified Matrix')</t>
  </si>
  <si>
    <t xml:space="preserve">Measure</t>
  </si>
  <si>
    <t xml:space="preserve">Checkov</t>
  </si>
  <si>
    <t xml:space="preserve">tfsec</t>
  </si>
  <si>
    <t xml:space="preserve">AI independent</t>
  </si>
  <si>
    <t xml:space="preserve">AI hybrid (Cond. C)</t>
  </si>
  <si>
    <t xml:space="preserve">Definition / denominator</t>
  </si>
  <si>
    <t xml:space="preserve">Vulnerable cases (denominator)</t>
  </si>
  <si>
    <t xml:space="preserve">TC02–TC11</t>
  </si>
  <si>
    <t xml:space="preserve">Target condition detected (TP)</t>
  </si>
  <si>
    <t xml:space="preserve">Normalised: one detection per case regardless of rule count</t>
  </si>
  <si>
    <t xml:space="preserve">Target condition missed (FN)</t>
  </si>
  <si>
    <t xml:space="preserve">Inconsistent across runs (PARTIAL)</t>
  </si>
  <si>
    <t xml:space="preserve">AI only: TC08</t>
  </si>
  <si>
    <t xml:space="preserve">Detection rate (TP / vulnerable cases)</t>
  </si>
  <si>
    <t xml:space="preserve">Descriptive only; n = 10 constructed cases, not a population estimate</t>
  </si>
  <si>
    <t xml:space="preserve">Secure baseline TC01 — clean (TN)</t>
  </si>
  <si>
    <t xml:space="preserve">1 case</t>
  </si>
  <si>
    <t xml:space="preserve">Secure baseline TC01 — unverified</t>
  </si>
  <si>
    <t xml:space="preserve">Hybrid TC01 evidence conflict</t>
  </si>
  <si>
    <t xml:space="preserve">Legitimate TC12 — no finding (TN)</t>
  </si>
  <si>
    <t xml:space="preserve">Legitimate TC12 — context-sensitive (CONTEXT)</t>
  </si>
  <si>
    <t xml:space="preserve">Pending researcher decision</t>
  </si>
  <si>
    <t xml:space="preserve">Union and overlap (vulnerable cases)</t>
  </si>
  <si>
    <t xml:space="preserve">Detected by Checkov OR tfsec</t>
  </si>
  <si>
    <t xml:space="preserve">Scanner union</t>
  </si>
  <si>
    <t xml:space="preserve">Detected by AI independent (TP) but by neither scanner</t>
  </si>
  <si>
    <t xml:space="preserve">TC09 (TC08 is PARTIAL)</t>
  </si>
  <si>
    <t xml:space="preserve">Detected by a scanner but not by AI independent (TP)</t>
  </si>
  <si>
    <t xml:space="preserve">None expected</t>
  </si>
  <si>
    <t xml:space="preserve">Missed by all three</t>
  </si>
  <si>
    <t xml:space="preserve">Notes: counts are descriptive for 12 controlled fixtures. Alert counts are not quality measures; scanner rules for one condition are normalised to one detection. AI independent classification uses 3 identical runs per case.</t>
  </si>
  <si>
    <t xml:space="preserve">PR</t>
  </si>
  <si>
    <t xml:space="preserve">Run ID</t>
  </si>
  <si>
    <t xml:space="preserve">Event</t>
  </si>
  <si>
    <t xml:space="preserve">Started (UTC)</t>
  </si>
  <si>
    <t xml:space="preserve">Commit</t>
  </si>
  <si>
    <t xml:space="preserve">Condition (metadata)</t>
  </si>
  <si>
    <t xml:space="preserve">Scanner findings supplied to AI</t>
  </si>
  <si>
    <t xml:space="preserve">AI output status</t>
  </si>
  <si>
    <t xml:space="preserve">Confirmed findings</t>
  </si>
  <si>
    <t xml:space="preserve">Other findings (not in PR comment)</t>
  </si>
  <si>
    <t xml:space="preserve">Operational score</t>
  </si>
  <si>
    <t xml:space="preserve">Verdict</t>
  </si>
  <si>
    <t xml:space="preserve">pull_request</t>
  </si>
  <si>
    <t xml:space="preserve">2026-10-13 13:23:46</t>
  </si>
  <si>
    <t xml:space="preserve">92ab884</t>
  </si>
  <si>
    <t xml:space="preserve">INDEPENDENT</t>
  </si>
  <si>
    <t xml:space="preserve">FALSE</t>
  </si>
  <si>
    <t xml:space="preserve">parsed</t>
  </si>
  <si>
    <t xml:space="preserve">none</t>
  </si>
  <si>
    <t xml:space="preserve">FALSE_POSITIVE · INFORMATIONAL · Private DNS zone name extraction via split() index — plausible concern, not a defect</t>
  </si>
  <si>
    <t xml:space="preserve">APPROVE</t>
  </si>
  <si>
    <t xml:space="preserve">workflow_dispatch</t>
  </si>
  <si>
    <t xml:space="preserve">2026-10-13 13:26:53</t>
  </si>
  <si>
    <t xml:space="preserve">2026-10-13 13:27:41</t>
  </si>
  <si>
    <t xml:space="preserve">FALSE_POSITIVE · INFORMATIONAL · NSG deny-all outbound rule may be flagged as redundant by scanners
FALSE_POSITIVE · INFORMATIONAL · DDoS Protection Standard not enabled — inapplicable to research workload
FALSE_POSITIVE · INFORMATIONAL · Subnet NSG association is correctly configured</t>
  </si>
  <si>
    <t xml:space="preserve">3eda6f7</t>
  </si>
  <si>
    <t xml:space="preserve">HIGH · SECURITY_VULNERABILITY · Unrestricted inbound SSH access permitted from any source address</t>
  </si>
  <si>
    <t xml:space="preserve">APPROVE_WITH_COMMENTS</t>
  </si>
  <si>
    <t xml:space="preserve">2026-10-13 13:26:59</t>
  </si>
  <si>
    <t xml:space="preserve">HIGH · SECURITY_VULNERABILITY · Inbound SSH (port 22) permitted from any source address (0.0.0.0/0)</t>
  </si>
  <si>
    <t xml:space="preserve">2026-10-13 13:27:45</t>
  </si>
  <si>
    <t xml:space="preserve">HIGH · SECURITY_VULNERABILITY · NSG permits inbound SSH (TCP/22) from any source (0.0.0.0/0)</t>
  </si>
  <si>
    <t xml:space="preserve">2026-10-13 13:23:47</t>
  </si>
  <si>
    <t xml:space="preserve">27789d9</t>
  </si>
  <si>
    <t xml:space="preserve">HIGH · SECURITY_VULNERABILITY · RDP (TCP/3389) publicly accessible from any source address</t>
  </si>
  <si>
    <t xml:space="preserve">2026-10-13 13:27:00</t>
  </si>
  <si>
    <t xml:space="preserve">HIGH · SECURITY_VULNERABILITY · Unrestricted inbound RDP (port 3389) permitted from 0.0.0.0/0</t>
  </si>
  <si>
    <t xml:space="preserve">2026-10-13 13:27:48</t>
  </si>
  <si>
    <t xml:space="preserve">HIGH · SECURITY_VULNERABILITY · Unrestricted inbound RDP access from any source (0.0.0.0/0) on port 3389
HIGH · POLICY_OR_COMPLIANCE · SEC-001 violation: public RDP exposure without documented policy justification</t>
  </si>
  <si>
    <t xml:space="preserve">DO_NOT_MERGE</t>
  </si>
  <si>
    <t xml:space="preserve">2026-10-13 13:23:50</t>
  </si>
  <si>
    <t xml:space="preserve">cbc6855</t>
  </si>
  <si>
    <t xml:space="preserve">HIGH · SECURITY_VULNERABILITY · Unrestricted inbound HTTP (TCP/80) permitted from any source via NSG rule</t>
  </si>
  <si>
    <t xml:space="preserve">2026-10-13 13:27:06</t>
  </si>
  <si>
    <t xml:space="preserve">HIGH · SECURITY_VULNERABILITY · NSG allows unrestricted inbound HTTP (TCP/80) from any IPv4 address</t>
  </si>
  <si>
    <t xml:space="preserve">2026-10-13 13:27:53</t>
  </si>
  <si>
    <t xml:space="preserve">HIGH · SECURITY_VULNERABILITY · NSG rule permits unrestricted inbound HTTP (TCP/80) from any IPv4 source</t>
  </si>
  <si>
    <t xml:space="preserve">2026-10-13 13:23:48</t>
  </si>
  <si>
    <t xml:space="preserve">14486bd</t>
  </si>
  <si>
    <t xml:space="preserve">HIGH · POLICY_OR_COMPLIANCE · Subnet has no NSG association (NET-001 violation)</t>
  </si>
  <si>
    <t xml:space="preserve">NEEDS_CONTEXT · LOW · DNS configuration comment implies intended custom resolver not yet configured</t>
  </si>
  <si>
    <t xml:space="preserve">2026-10-13 13:27:10</t>
  </si>
  <si>
    <t xml:space="preserve">HIGH · POLICY_OR_COMPLIANCE · Subnet 'subnet-demo' has no NSG association (NET-001 violation)</t>
  </si>
  <si>
    <t xml:space="preserve">NEEDS_CONTEXT · LOW · VNet dns_servers is empty but comment references a custom resolver</t>
  </si>
  <si>
    <t xml:space="preserve">2026-10-13 13:27:57</t>
  </si>
  <si>
    <t xml:space="preserve">MEDIUM · POLICY_OR_COMPLIANCE · Subnet has no NSG association (NET-001 violation)</t>
  </si>
  <si>
    <t xml:space="preserve">NEEDS_CONTEXT · LOW · VNet DNS server configuration ambiguous relative to NET-002</t>
  </si>
  <si>
    <t xml:space="preserve">2026-10-13 13:23:51</t>
  </si>
  <si>
    <t xml:space="preserve">eb51ee9</t>
  </si>
  <si>
    <t xml:space="preserve">MEDIUM · POLICY_OR_COMPLIANCE · Virtual Network uses a public DNS server in violation of NET-002</t>
  </si>
  <si>
    <t xml:space="preserve">2026-10-13 13:27:14</t>
  </si>
  <si>
    <t xml:space="preserve">MEDIUM · POLICY_OR_COMPLIANCE · VNet configured with public DNS resolver in violation of NET-002</t>
  </si>
  <si>
    <t xml:space="preserve">2026-10-13 13:28:00</t>
  </si>
  <si>
    <t xml:space="preserve">MEDIUM · POLICY_OR_COMPLIANCE · VNet configured with public DNS server in violation of NET-002</t>
  </si>
  <si>
    <t xml:space="preserve">b6e93b7</t>
  </si>
  <si>
    <t xml:space="preserve">HIGH · SECURITY_VULNERABILITY · Storage account permits insecure TLS 1.0 and TLS 1.1 connections
LOW · POLICY_OR_COMPLIANCE · Storage account missing mandatory tags: owner, cost-center, research_case</t>
  </si>
  <si>
    <t xml:space="preserve">NEEDS_CONTEXT · MEDIUM · Storage account has no network access restrictions configured</t>
  </si>
  <si>
    <t xml:space="preserve">2026-10-13 13:27:16</t>
  </si>
  <si>
    <t xml:space="preserve">HIGH · SECURITY_VULNERABILITY · Storage account allows deprecated TLS 1.0 connections
LOW · POLICY_OR_COMPLIANCE · Storage account missing mandatory tags: owner and cost-center</t>
  </si>
  <si>
    <t xml:space="preserve">NEEDS_CONTEXT · MEDIUM · Storage account may permit public network access with no network restrictions configured</t>
  </si>
  <si>
    <t xml:space="preserve">2026-10-13 13:28:05</t>
  </si>
  <si>
    <t xml:space="preserve">HIGH · SECURITY_VULNERABILITY · Storage account permits deprecated TLS 1.0 connections
LOW · POLICY_OR_COMPLIANCE · Storage account missing mandatory tags: owner and cost-center</t>
  </si>
  <si>
    <t xml:space="preserve">NEEDS_CONTEXT · HIGH · Storage account may be publicly accessible with no network restriction</t>
  </si>
  <si>
    <t xml:space="preserve">2026-10-13 13:23:55</t>
  </si>
  <si>
    <t xml:space="preserve">c86e4d5</t>
  </si>
  <si>
    <t xml:space="preserve">AI step failed</t>
  </si>
  <si>
    <t xml:space="preserve">Output rejected by validator: FALSE_POSITIVE/INFORMATIONAL 'No azurerm_monitor_diagnostic_setting configured for the NSG' with a policy mapping to a non-confirmed finding</t>
  </si>
  <si>
    <t xml:space="preserve">2026-10-13 13:27:23</t>
  </si>
  <si>
    <t xml:space="preserve">NEEDS_CONTEXT · MEDIUM · No diagnostic setting configured for the NSG resource
FALSE_POSITIVE · INFORMATIONAL · Explicit outbound deny rule is intentional defense-in-depth, not redundant
FALSE_POSITIVE · INFORMATIONAL · Private-only Log Analytics access is intentional; no client workload in TC01 scope</t>
  </si>
  <si>
    <t xml:space="preserve">2026-10-13 13:28:07</t>
  </si>
  <si>
    <t xml:space="preserve">NEEDS_CONTEXT · MEDIUM · No azurerm_monitor_diagnostic_setting configured for the NSG resource</t>
  </si>
  <si>
    <t xml:space="preserve">2026-10-13 13:28:40</t>
  </si>
  <si>
    <t xml:space="preserve">MEDIUM · POLICY_OR_COMPLIANCE · No diagnostic setting configured to forward NSG logs to Log Analytics</t>
  </si>
  <si>
    <t xml:space="preserve">2026-10-13 13:23:54</t>
  </si>
  <si>
    <t xml:space="preserve">277a730</t>
  </si>
  <si>
    <t xml:space="preserve">MEDIUM · SECURITY_VULNERABILITY · Hardcoded secret value embedded in Terraform local in source-controlled file</t>
  </si>
  <si>
    <t xml:space="preserve">2026-10-13 13:27:28</t>
  </si>
  <si>
    <t xml:space="preserve">MEDIUM · SECURITY_VULNERABILITY · Hardcoded credential-shaped string stored as a plaintext Terraform local in source control</t>
  </si>
  <si>
    <t xml:space="preserve">2026-10-13 13:28:12</t>
  </si>
  <si>
    <t xml:space="preserve">MEDIUM · SECURITY_VULNERABILITY · Hardcoded secret-like string embedded in Terraform local value</t>
  </si>
  <si>
    <t xml:space="preserve">2026-10-13 13:23:59</t>
  </si>
  <si>
    <t xml:space="preserve">bd8a61f</t>
  </si>
  <si>
    <t xml:space="preserve">HIGH · SECURITY_VULNERABILITY · Custom role definition grants unrestricted wildcard ('*') permissions at subscription scope
LOW · POLICY_OR_COMPLIANCE · Custom role definition is missing mandatory tags required by TAG-001</t>
  </si>
  <si>
    <t xml:space="preserve">2026-10-13 13:27:31</t>
  </si>
  <si>
    <t xml:space="preserve">HIGH · SECURITY_VULNERABILITY · Custom role definition grants wildcard (*) permissions at subscription scope</t>
  </si>
  <si>
    <t xml:space="preserve">2026-10-13 13:28:16</t>
  </si>
  <si>
    <t xml:space="preserve">HIGH · SECURITY_VULNERABILITY · Subscription-scoped wildcard role definition grants unrestricted ARM permissions
LOW · POLICY_OR_COMPLIANCE · Custom role definition missing mandatory tags required by TAG-001</t>
  </si>
  <si>
    <t xml:space="preserve">2026-10-13 13:23:57</t>
  </si>
  <si>
    <t xml:space="preserve">3dd9a04</t>
  </si>
  <si>
    <t xml:space="preserve">HIGH · SECURITY_VULNERABILITY · Custom RBAC role grants wildcard (*) permissions at subscription scope, violating least privilege</t>
  </si>
  <si>
    <t xml:space="preserve">2026-10-13 13:27:32</t>
  </si>
  <si>
    <t xml:space="preserve">HIGH · SECURITY_VULNERABILITY · Custom role grants wildcard subscription-scope permissions far exceeding documented task requirements</t>
  </si>
  <si>
    <t xml:space="preserve">2026-10-13 13:28:23</t>
  </si>
  <si>
    <t xml:space="preserve">HIGH · SECURITY_VULNERABILITY · Custom role definition grants wildcard subscription-scope permissions far exceeding documented task requirements</t>
  </si>
  <si>
    <t xml:space="preserve">2026-10-13 13:24:01</t>
  </si>
  <si>
    <t xml:space="preserve">9cee1fe</t>
  </si>
  <si>
    <t xml:space="preserve">HIGH · SECURITY_VULNERABILITY · NSG rule permits unrestricted public inbound HTTPS to the entire subnet
MEDIUM · POLICY_OR_COMPLIANCE · SEC-001: Public exposure broader than documented justification
LOW · POLICY_OR_COMPLIANCE · TAG-001: azurerm_network_security_rule.tc12_public_https missing mandatory tags</t>
  </si>
  <si>
    <t xml:space="preserve">2026-10-13 13:27:39</t>
  </si>
  <si>
    <t xml:space="preserve">LOW · POLICY_OR_COMPLIANCE · NSG security rule tc12_public_https is missing mandatory tags (TAG-001)</t>
  </si>
  <si>
    <t xml:space="preserve">NEEDS_CONTEXT · LOW · Public HTTPS rule uses wildcard destination address prefix — scope unknown</t>
  </si>
  <si>
    <t xml:space="preserve">2026-10-13 13:28:25</t>
  </si>
  <si>
    <t xml:space="preserve">NEEDS_CONTEXT · MEDIUM · AllowPublicHTTPS-TC12 rule uses wildcard destination address prefix
FALSE_POSITIVE · INFORMATIONAL · Public inbound HTTPS rule is explicitly justified — not a SEC-001 violation
FALSE_POSITIVE · INFORMATIONAL · azurerm_network_security_rule does not support tags — TAG-001 not applicable</t>
  </si>
  <si>
    <t xml:space="preserve">Source: experiment-metadata.json and ai_output.json in each prom06-INDEPENDENT-&lt;run_id&gt; artifact (downloaded by AB, 13 Oct 2026). Model: claude-sonnet-4-6 (hard-coded in ai/review_runner.py; not recorded in metadata); no temperature set.</t>
  </si>
  <si>
    <t xml:space="preserve">Checkov passed</t>
  </si>
  <si>
    <t xml:space="preserve">Checkov failed</t>
  </si>
  <si>
    <t xml:space="preserve">Checkov failed check IDs</t>
  </si>
  <si>
    <t xml:space="preserve">tfsec findings (rule · severity · resource)</t>
  </si>
  <si>
    <t xml:space="preserve">Identical across independent runs</t>
  </si>
  <si>
    <t xml:space="preserve">Matches local reproduction</t>
  </si>
  <si>
    <t xml:space="preserve">Matches earlier Condition C PR comment</t>
  </si>
  <si>
    <t xml:space="preserve">Yes (3/3; TC08 4/4)</t>
  </si>
  <si>
    <t xml:space="preserve">Yes</t>
  </si>
  <si>
    <t xml:space="preserve">AVD-AZU-0047 · CRITICAL · azurerm_network_security_group.nsg
AVD-AZU-0050 · CRITICAL · azurerm_network_security_group.nsg</t>
  </si>
  <si>
    <t xml:space="preserve">AVD-AZU-0048 · CRITICAL · azurerm_network_security_group.nsg
AVD-AZU-0047 · CRITICAL · azurerm_network_security_group.nsg</t>
  </si>
  <si>
    <t xml:space="preserve">AVD-AZU-0047 · CRITICAL · azurerm_network_security_group.nsg</t>
  </si>
  <si>
    <t xml:space="preserve">CKV2_AZURE_31</t>
  </si>
  <si>
    <t xml:space="preserve">CKV_AZURE_183, CKV_AZURE_182</t>
  </si>
  <si>
    <t xml:space="preserve">CKV_AZURE_59, CKV_AZURE_206, CKV_AZURE_190, CKV_AZURE_33, CKV_AZURE_44, CKV2_AZURE_47, CKV2_AZURE_38, CKV2_AZURE_40, CKV2_AZURE_33, CKV2_AZURE_41, CKV2_AZURE_1</t>
  </si>
  <si>
    <t xml:space="preserve">AVD-AZU-0011 · CRITICAL · azurerm_storage_account.tc07_storage</t>
  </si>
  <si>
    <t xml:space="preserve">CKV_AZURE_39</t>
  </si>
  <si>
    <t xml:space="preserve">AVD-AZU-0047 · CRITICAL · azurerm_network_security_rule.tc12_public_https</t>
  </si>
  <si>
    <t xml:space="preserve">Local reproduction: Checkov 3.3.1 (--framework terraform --output json) and tfsec v1.28.14 (--format json) on each indep-tc branch, 13 Oct 2026. Checkov OSS JSON reports no severity. Probe: changing TC02 source '0.0.0.0/0' to '*' makes CKV_AZURE_10 fail.</t>
  </si>
  <si>
    <t xml:space="preserve">Head commit</t>
  </si>
  <si>
    <t xml:space="preserve">Run attempts</t>
  </si>
  <si>
    <t xml:space="preserve">AI result (PR comment)</t>
  </si>
  <si>
    <t xml:space="preserve">Scanner IDs cited by AI</t>
  </si>
  <si>
    <t xml:space="preserve">Notes</t>
  </si>
  <si>
    <t xml:space="preserve">#46</t>
  </si>
  <si>
    <t xml:space="preserve">0003ccf</t>
  </si>
  <si>
    <t xml:space="preserve">37804553671</t>
  </si>
  <si>
    <t xml:space="preserve">55/100 DO_NOT_MERGE: MEDIUM TAG-001, MEDIUM LOG-001 confirmed; context note on missing explicit NSG rules</t>
  </si>
  <si>
    <t xml:space="preserve">none (no scanner context in code at that time)</t>
  </si>
  <si>
    <t xml:space="preserve">Older fixture (no tags/logging); later baseline changed</t>
  </si>
  <si>
    <t xml:space="preserve">#55</t>
  </si>
  <si>
    <t xml:space="preserve">aea09b1</t>
  </si>
  <si>
    <t xml:space="preserve">37941043133</t>
  </si>
  <si>
    <t xml:space="preserve">Screenshot shows 100/100 clean, but PR changed only PROM06-TC-01.md so AI should have been skipped; comment posted 11 min before scanner comments</t>
  </si>
  <si>
    <t xml:space="preserve">Not traceable to its own run — UNVERIFIED</t>
  </si>
  <si>
    <t xml:space="preserve">#56</t>
  </si>
  <si>
    <t xml:space="preserve">1112b8b</t>
  </si>
  <si>
    <t xml:space="preserve">37949921520</t>
  </si>
  <si>
    <t xml:space="preserve">70/100: CRITICAL SSH</t>
  </si>
  <si>
    <t xml:space="preserve">AVD-AZU-0047, AVD-AZU-0050</t>
  </si>
  <si>
    <t xml:space="preserve">#57</t>
  </si>
  <si>
    <t xml:space="preserve">4d213c6</t>
  </si>
  <si>
    <t xml:space="preserve">38240217182</t>
  </si>
  <si>
    <t xml:space="preserve">70/100: CRITICAL RDP</t>
  </si>
  <si>
    <t xml:space="preserve">AVD-AZU-0048, AVD-AZU-0047</t>
  </si>
  <si>
    <t xml:space="preserve">#58</t>
  </si>
  <si>
    <t xml:space="preserve">4d2f880</t>
  </si>
  <si>
    <t xml:space="preserve">38241873851</t>
  </si>
  <si>
    <t xml:space="preserve">70/100: HIGH HTTP</t>
  </si>
  <si>
    <t xml:space="preserve">AVD-AZU-0047</t>
  </si>
  <si>
    <t xml:space="preserve">PR closed unmerged</t>
  </si>
  <si>
    <t xml:space="preserve">#59</t>
  </si>
  <si>
    <t xml:space="preserve">dad9df3</t>
  </si>
  <si>
    <t xml:space="preserve">38243286069</t>
  </si>
  <si>
    <t xml:space="preserve">85/100: MEDIUM NET-001</t>
  </si>
  <si>
    <t xml:space="preserve">#61</t>
  </si>
  <si>
    <t xml:space="preserve">1ea2c15</t>
  </si>
  <si>
    <t xml:space="preserve">38245294170</t>
  </si>
  <si>
    <t xml:space="preserve">85/100: MEDIUM NET-002</t>
  </si>
  <si>
    <t xml:space="preserve">#60 was an earlier TC06 variant</t>
  </si>
  <si>
    <t xml:space="preserve">#63</t>
  </si>
  <si>
    <t xml:space="preserve">de8549e</t>
  </si>
  <si>
    <t xml:space="preserve">38281784140</t>
  </si>
  <si>
    <t xml:space="preserve">25/100: CRITICAL TLS, MEDIUM TAG-001, HIGH public network</t>
  </si>
  <si>
    <t xml:space="preserve">AVD-AZU-0011, CKV_AZURE_44, CKV_AZURE_59, CKV2_AZURE_47/33/40</t>
  </si>
  <si>
    <t xml:space="preserve">#62 web-app variant not used</t>
  </si>
  <si>
    <t xml:space="preserve">#64</t>
  </si>
  <si>
    <t xml:space="preserve">7cb9014</t>
  </si>
  <si>
    <t xml:space="preserve">38283490262</t>
  </si>
  <si>
    <t xml:space="preserve">85/100: MEDIUM LOG-001</t>
  </si>
  <si>
    <t xml:space="preserve">none (scanners clean)</t>
  </si>
  <si>
    <t xml:space="preserve">#65</t>
  </si>
  <si>
    <t xml:space="preserve">eca6e99</t>
  </si>
  <si>
    <t xml:space="preserve">38285110293</t>
  </si>
  <si>
    <t xml:space="preserve">85/100: MEDIUM hard-coded secret</t>
  </si>
  <si>
    <t xml:space="preserve">3 attempts; claimed value would be stored in state</t>
  </si>
  <si>
    <t xml:space="preserve">#66</t>
  </si>
  <si>
    <t xml:space="preserve">dd05ba4</t>
  </si>
  <si>
    <t xml:space="preserve">38287543507</t>
  </si>
  <si>
    <t xml:space="preserve">Attempt 1: 40/100, 2 × CRITICAL; attempt 2 (13 Oct): 70/100, 1 × HIGH</t>
  </si>
  <si>
    <t xml:space="preserve">Explains matrix severity conflict</t>
  </si>
  <si>
    <t xml:space="preserve">#67</t>
  </si>
  <si>
    <t xml:space="preserve">960dac3</t>
  </si>
  <si>
    <t xml:space="preserve">38288761497</t>
  </si>
  <si>
    <t xml:space="preserve">Both attempts 70/100: 1 × HIGH</t>
  </si>
  <si>
    <t xml:space="preserve">CKV_AZURE_39 (listed as a 'policy mapping' in attempt 2)</t>
  </si>
  <si>
    <t xml:space="preserve">Confluence heading 'AI-only (B)' incorrect</t>
  </si>
  <si>
    <t xml:space="preserve">#68</t>
  </si>
  <si>
    <t xml:space="preserve">709316c</t>
  </si>
  <si>
    <t xml:space="preserve">38289955785</t>
  </si>
  <si>
    <t xml:space="preserve">85/100: MEDIUM SEC-001 scope concern</t>
  </si>
  <si>
    <t xml:space="preserve">Runs on 9–12 Oct used workflow default Condition C with build_scanner_context() (added 9 Oct 12:47, commit 732083d), so the AI prompt contained normalised scanner findings. Run IDs/attempts from GitHub Actions API.</t>
  </si>
  <si>
    <t xml:space="preserve">#</t>
  </si>
  <si>
    <t xml:space="preserve">Item</t>
  </si>
  <si>
    <t xml:space="preserve">Proposed treatment</t>
  </si>
  <si>
    <t xml:space="preserve">AB decision</t>
  </si>
  <si>
    <t xml:space="preserve">TC12 tfsec AVD-AZU-0047 and AI SEC-001: count the shared-NSG / wildcard-destination scope as a separate weakness?</t>
  </si>
  <si>
    <t xml:space="preserve">Keep as CONTEXT; report both readings (FP against TC12-GT-01 vs valid scope concern).</t>
  </si>
  <si>
    <t xml:space="preserve">Agreed — proposed treatment adopted (AB, 13 Oct 2026)</t>
  </si>
  <si>
    <t xml:space="preserve">TC08 AI result</t>
  </si>
  <si>
    <t xml:space="preserve">Report PARTIAL: raised 4/4, confirmed 1/3 successful runs; treat as classification instability.</t>
  </si>
  <si>
    <t xml:space="preserve">TC01 hybrid result</t>
  </si>
  <si>
    <t xml:space="preserve">Report as UNVERIFIED; use independent TC01 (clean 3/3) as the baseline result; disclose baseline evolution.</t>
  </si>
  <si>
    <t xml:space="preserve">TC11 construct</t>
  </si>
  <si>
    <t xml:space="preserve">Count detections, but state the case does not isolate multi-file reasoning (wildcard alone triggers CKV_AZURE_39).</t>
  </si>
  <si>
    <t xml:space="preserve">AI TAG-001 findings on non-taggable resources (TC10, TC12)</t>
  </si>
  <si>
    <t xml:space="preserve">Count as AI false positives (unrelated to target).</t>
  </si>
  <si>
    <t xml:space="preserve">Input asymmetry: only the AI receives ai/policy.md (NET-001, NET-002, LOG-001, SEC-001, TAG-001)</t>
  </si>
  <si>
    <t xml:space="preserve">Report as a fairness/validity limitation, especially for TC05, TC06, TC08, TC12.</t>
  </si>
  <si>
    <t xml:space="preserve">Severity comparison</t>
  </si>
  <si>
    <t xml:space="preserve">Do not compare severities across tools; report AI severity variability only.</t>
  </si>
  <si>
    <t xml:space="preserve">Ground truth source</t>
  </si>
  <si>
    <t xml:space="preserve">Use Confluence v72 per-case ground truth (more specific than GT Matrix v1.0); note GT v1.0 TC04 wording differs.</t>
  </si>
  <si>
    <t xml:space="preserve">Checkov TC02–TC04 misses</t>
  </si>
  <si>
    <t xml:space="preserve">Report as reproducible rule-matching limitation with the local probe as evidence.</t>
  </si>
  <si>
    <t xml:space="preserve">Close PRs #56–#81 without merging after sign-off</t>
  </si>
  <si>
    <t xml:space="preserve">Ground-truth vulnerability</t>
  </si>
  <si>
    <t xml:space="preserve">Checkov result</t>
  </si>
  <si>
    <t xml:space="preserve">tfsec result</t>
  </si>
  <si>
    <t xml:space="preserve">AI reviewer result</t>
  </si>
  <si>
    <t xml:space="preserve">Secure Baseline</t>
  </si>
  <si>
    <t xml:space="preserve">No Security Issue Detected</t>
  </si>
  <si>
    <t xml:space="preserve">Unrestricted SSH ingress</t>
  </si>
  <si>
    <t xml:space="preserve">Not Detected</t>
  </si>
  <si>
    <t xml:space="preserve">Detected — critical</t>
  </si>
  <si>
    <t xml:space="preserve">Unrestricted RDP ingress</t>
  </si>
  <si>
    <t xml:space="preserve">Public HTTP ingress</t>
  </si>
  <si>
    <t xml:space="preserve">Detected - High</t>
  </si>
  <si>
    <t xml:space="preserve">Missing NSG association</t>
  </si>
  <si>
    <t xml:space="preserve">Detected</t>
  </si>
  <si>
    <t xml:space="preserve">Not detected</t>
  </si>
  <si>
    <t xml:space="preserve">Detected - Medium</t>
  </si>
  <si>
    <t xml:space="preserve">Public DNS configuration</t>
  </si>
  <si>
    <t xml:space="preserve">Weak TLS configuration</t>
  </si>
  <si>
    <t xml:space="preserve">Missing Diagnostics &amp; Audit Logging</t>
  </si>
  <si>
    <t xml:space="preserve">Plaintext credential</t>
  </si>
  <si>
    <t xml:space="preserve">Multi-File, Contect Dependent Security Weakness</t>
  </si>
  <si>
    <t xml:space="preserve">Legitamte Public HTTPS Service</t>
  </si>
  <si>
    <t xml:space="preserve">Unchanged copy of AB's draft (Results_Matrix_Draft.xlsx) for traceability. Superseded by 'Verified Matrix'.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</si>
</sst>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0"/>
  </cols>
  <sheetData>
    <row r="1" customFormat="false" ht="17.25" hidden="false" customHeight="true" outlineLevel="0" collapsed="false">
      <c r="A1" s="2" t="s">
        <v>0</v>
      </c>
    </row>
    <row r="2" customFormat="false" ht="39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15" hidden="false" customHeight="true" outlineLevel="0" collapsed="false">
      <c r="A4" s="4" t="s">
        <v>3</v>
      </c>
    </row>
    <row r="5" customFormat="false" ht="15" hidden="false" customHeight="true" outlineLevel="0" collapsed="false">
      <c r="A5" s="3" t="s">
        <v>4</v>
      </c>
    </row>
    <row r="6" customFormat="false" ht="26.25" hidden="false" customHeight="true" outlineLevel="0" collapsed="false">
      <c r="A6" s="3" t="s">
        <v>5</v>
      </c>
    </row>
    <row r="7" customFormat="false" ht="26.25" hidden="false" customHeight="true" outlineLevel="0" collapsed="false">
      <c r="A7" s="3" t="s">
        <v>6</v>
      </c>
    </row>
    <row r="8" customFormat="false" ht="15" hidden="false" customHeight="true" outlineLevel="0" collapsed="false">
      <c r="A8" s="3" t="s">
        <v>7</v>
      </c>
    </row>
    <row r="9" customFormat="false" ht="26.25" hidden="false" customHeight="true" outlineLevel="0" collapsed="false">
      <c r="A9" s="3" t="s">
        <v>8</v>
      </c>
    </row>
    <row r="10" customFormat="false" ht="15" hidden="false" customHeight="true" outlineLevel="0" collapsed="false">
      <c r="A10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  <col collapsed="false" customWidth="true" hidden="false" outlineLevel="0" max="6" min="6" style="1" width="10"/>
    <col collapsed="false" customWidth="true" hidden="false" outlineLevel="0" max="7" min="7" style="1" width="30"/>
    <col collapsed="false" customWidth="true" hidden="false" outlineLevel="0" max="8" min="8" style="1" width="10"/>
    <col collapsed="false" customWidth="true" hidden="false" outlineLevel="0" max="9" min="9" style="1" width="40"/>
    <col collapsed="false" customWidth="true" hidden="false" outlineLevel="0" max="10" min="10" style="1" width="11"/>
    <col collapsed="false" customWidth="true" hidden="false" outlineLevel="0" max="11" min="11" style="1" width="34"/>
    <col collapsed="false" customWidth="true" hidden="false" outlineLevel="0" max="12" min="12" style="1" width="11"/>
    <col collapsed="false" customWidth="true" hidden="false" outlineLevel="0" max="13" min="13" style="1" width="38"/>
    <col collapsed="false" customWidth="true" hidden="false" outlineLevel="0" max="14" min="14" style="1" width="30"/>
    <col collapsed="false" customWidth="true" hidden="false" outlineLevel="0" max="15" min="15" style="1" width="40"/>
  </cols>
  <sheetData>
    <row r="1" customFormat="false" ht="39" hidden="false" customHeight="true" outlineLevel="0" collapsed="false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  <c r="K1" s="5" t="s">
        <v>20</v>
      </c>
      <c r="L1" s="5" t="s">
        <v>21</v>
      </c>
      <c r="M1" s="5" t="s">
        <v>22</v>
      </c>
      <c r="N1" s="5" t="s">
        <v>23</v>
      </c>
      <c r="O1" s="5" t="s">
        <v>24</v>
      </c>
    </row>
    <row r="2" customFormat="false" ht="64.5" hidden="false" customHeight="true" outlineLevel="0" collapsed="false">
      <c r="A2" s="6" t="s">
        <v>25</v>
      </c>
      <c r="B2" s="6" t="s">
        <v>26</v>
      </c>
      <c r="C2" s="6" t="s">
        <v>27</v>
      </c>
      <c r="D2" s="6" t="s">
        <v>28</v>
      </c>
      <c r="E2" s="6" t="s">
        <v>29</v>
      </c>
      <c r="F2" s="7" t="s">
        <v>30</v>
      </c>
      <c r="G2" s="6" t="s">
        <v>31</v>
      </c>
      <c r="H2" s="7" t="s">
        <v>30</v>
      </c>
      <c r="I2" s="6" t="s">
        <v>32</v>
      </c>
      <c r="J2" s="7" t="s">
        <v>30</v>
      </c>
      <c r="K2" s="6" t="s">
        <v>33</v>
      </c>
      <c r="L2" s="8" t="s">
        <v>34</v>
      </c>
      <c r="M2" s="6" t="s">
        <v>35</v>
      </c>
      <c r="N2" s="6" t="s">
        <v>36</v>
      </c>
      <c r="O2" s="6" t="s">
        <v>37</v>
      </c>
    </row>
    <row r="3" customFormat="false" ht="39" hidden="false" customHeight="true" outlineLevel="0" collapsed="false">
      <c r="A3" s="6" t="s">
        <v>38</v>
      </c>
      <c r="B3" s="6" t="s">
        <v>39</v>
      </c>
      <c r="C3" s="6" t="s">
        <v>40</v>
      </c>
      <c r="D3" s="6" t="s">
        <v>41</v>
      </c>
      <c r="E3" s="6" t="s">
        <v>42</v>
      </c>
      <c r="F3" s="9" t="s">
        <v>43</v>
      </c>
      <c r="G3" s="6" t="s">
        <v>44</v>
      </c>
      <c r="H3" s="7" t="s">
        <v>45</v>
      </c>
      <c r="I3" s="6" t="s">
        <v>46</v>
      </c>
      <c r="J3" s="7" t="s">
        <v>45</v>
      </c>
      <c r="K3" s="6" t="s">
        <v>47</v>
      </c>
      <c r="L3" s="7" t="s">
        <v>45</v>
      </c>
      <c r="M3" s="6" t="s">
        <v>48</v>
      </c>
      <c r="N3" s="6" t="s">
        <v>49</v>
      </c>
      <c r="O3" s="6" t="s">
        <v>50</v>
      </c>
    </row>
    <row r="4" customFormat="false" ht="39" hidden="false" customHeight="true" outlineLevel="0" collapsed="false">
      <c r="A4" s="6" t="s">
        <v>51</v>
      </c>
      <c r="B4" s="6" t="s">
        <v>52</v>
      </c>
      <c r="C4" s="6" t="s">
        <v>53</v>
      </c>
      <c r="D4" s="6" t="s">
        <v>41</v>
      </c>
      <c r="E4" s="6" t="s">
        <v>54</v>
      </c>
      <c r="F4" s="9" t="s">
        <v>43</v>
      </c>
      <c r="G4" s="6" t="s">
        <v>55</v>
      </c>
      <c r="H4" s="7" t="s">
        <v>45</v>
      </c>
      <c r="I4" s="6" t="s">
        <v>56</v>
      </c>
      <c r="J4" s="7" t="s">
        <v>45</v>
      </c>
      <c r="K4" s="6" t="s">
        <v>57</v>
      </c>
      <c r="L4" s="7" t="s">
        <v>45</v>
      </c>
      <c r="M4" s="6" t="s">
        <v>58</v>
      </c>
      <c r="N4" s="6" t="s">
        <v>59</v>
      </c>
      <c r="O4" s="6" t="s">
        <v>60</v>
      </c>
    </row>
    <row r="5" customFormat="false" ht="51.75" hidden="false" customHeight="true" outlineLevel="0" collapsed="false">
      <c r="A5" s="6" t="s">
        <v>61</v>
      </c>
      <c r="B5" s="6" t="s">
        <v>62</v>
      </c>
      <c r="C5" s="6" t="s">
        <v>63</v>
      </c>
      <c r="D5" s="6" t="s">
        <v>41</v>
      </c>
      <c r="E5" s="6" t="s">
        <v>64</v>
      </c>
      <c r="F5" s="9" t="s">
        <v>43</v>
      </c>
      <c r="G5" s="6" t="s">
        <v>65</v>
      </c>
      <c r="H5" s="7" t="s">
        <v>45</v>
      </c>
      <c r="I5" s="6" t="s">
        <v>66</v>
      </c>
      <c r="J5" s="7" t="s">
        <v>45</v>
      </c>
      <c r="K5" s="6" t="s">
        <v>67</v>
      </c>
      <c r="L5" s="7" t="s">
        <v>45</v>
      </c>
      <c r="M5" s="6" t="s">
        <v>68</v>
      </c>
      <c r="N5" s="6" t="s">
        <v>69</v>
      </c>
      <c r="O5" s="6" t="s">
        <v>70</v>
      </c>
    </row>
    <row r="6" customFormat="false" ht="39" hidden="false" customHeight="true" outlineLevel="0" collapsed="false">
      <c r="A6" s="6" t="s">
        <v>71</v>
      </c>
      <c r="B6" s="6" t="s">
        <v>72</v>
      </c>
      <c r="C6" s="6" t="s">
        <v>73</v>
      </c>
      <c r="D6" s="6" t="s">
        <v>41</v>
      </c>
      <c r="E6" s="6" t="s">
        <v>74</v>
      </c>
      <c r="F6" s="7" t="s">
        <v>45</v>
      </c>
      <c r="G6" s="6" t="s">
        <v>31</v>
      </c>
      <c r="H6" s="9" t="s">
        <v>43</v>
      </c>
      <c r="I6" s="6" t="s">
        <v>75</v>
      </c>
      <c r="J6" s="7" t="s">
        <v>45</v>
      </c>
      <c r="K6" s="6" t="s">
        <v>76</v>
      </c>
      <c r="L6" s="7" t="s">
        <v>45</v>
      </c>
      <c r="M6" s="6" t="s">
        <v>77</v>
      </c>
      <c r="N6" s="6" t="s">
        <v>78</v>
      </c>
      <c r="O6" s="6" t="s">
        <v>79</v>
      </c>
    </row>
    <row r="7" customFormat="false" ht="39" hidden="false" customHeight="true" outlineLevel="0" collapsed="false">
      <c r="A7" s="6" t="s">
        <v>80</v>
      </c>
      <c r="B7" s="6" t="s">
        <v>81</v>
      </c>
      <c r="C7" s="6" t="s">
        <v>82</v>
      </c>
      <c r="D7" s="6" t="s">
        <v>41</v>
      </c>
      <c r="E7" s="6" t="s">
        <v>83</v>
      </c>
      <c r="F7" s="7" t="s">
        <v>45</v>
      </c>
      <c r="G7" s="6" t="s">
        <v>31</v>
      </c>
      <c r="H7" s="9" t="s">
        <v>43</v>
      </c>
      <c r="I7" s="6" t="s">
        <v>84</v>
      </c>
      <c r="J7" s="7" t="s">
        <v>45</v>
      </c>
      <c r="K7" s="6" t="s">
        <v>85</v>
      </c>
      <c r="L7" s="7" t="s">
        <v>45</v>
      </c>
      <c r="M7" s="6" t="s">
        <v>86</v>
      </c>
      <c r="N7" s="6" t="s">
        <v>87</v>
      </c>
      <c r="O7" s="6" t="s">
        <v>88</v>
      </c>
    </row>
    <row r="8" customFormat="false" ht="51.75" hidden="false" customHeight="true" outlineLevel="0" collapsed="false">
      <c r="A8" s="6" t="s">
        <v>89</v>
      </c>
      <c r="B8" s="6" t="s">
        <v>90</v>
      </c>
      <c r="C8" s="6" t="s">
        <v>91</v>
      </c>
      <c r="D8" s="6" t="s">
        <v>41</v>
      </c>
      <c r="E8" s="6" t="s">
        <v>92</v>
      </c>
      <c r="F8" s="7" t="s">
        <v>45</v>
      </c>
      <c r="G8" s="6" t="s">
        <v>93</v>
      </c>
      <c r="H8" s="7" t="s">
        <v>45</v>
      </c>
      <c r="I8" s="6" t="s">
        <v>94</v>
      </c>
      <c r="J8" s="7" t="s">
        <v>45</v>
      </c>
      <c r="K8" s="6" t="s">
        <v>95</v>
      </c>
      <c r="L8" s="7" t="s">
        <v>45</v>
      </c>
      <c r="M8" s="6" t="s">
        <v>96</v>
      </c>
      <c r="N8" s="6" t="s">
        <v>97</v>
      </c>
      <c r="O8" s="6" t="s">
        <v>98</v>
      </c>
    </row>
    <row r="9" customFormat="false" ht="51.75" hidden="false" customHeight="true" outlineLevel="0" collapsed="false">
      <c r="A9" s="6" t="s">
        <v>99</v>
      </c>
      <c r="B9" s="6" t="s">
        <v>100</v>
      </c>
      <c r="C9" s="6" t="s">
        <v>101</v>
      </c>
      <c r="D9" s="6" t="s">
        <v>41</v>
      </c>
      <c r="E9" s="6" t="s">
        <v>102</v>
      </c>
      <c r="F9" s="9" t="s">
        <v>43</v>
      </c>
      <c r="G9" s="6" t="s">
        <v>31</v>
      </c>
      <c r="H9" s="9" t="s">
        <v>43</v>
      </c>
      <c r="I9" s="6" t="s">
        <v>103</v>
      </c>
      <c r="J9" s="10" t="s">
        <v>104</v>
      </c>
      <c r="K9" s="6" t="s">
        <v>105</v>
      </c>
      <c r="L9" s="7" t="s">
        <v>45</v>
      </c>
      <c r="M9" s="6" t="s">
        <v>68</v>
      </c>
      <c r="N9" s="6" t="s">
        <v>106</v>
      </c>
      <c r="O9" s="6" t="s">
        <v>107</v>
      </c>
    </row>
    <row r="10" customFormat="false" ht="51.75" hidden="false" customHeight="true" outlineLevel="0" collapsed="false">
      <c r="A10" s="6" t="s">
        <v>108</v>
      </c>
      <c r="B10" s="6" t="s">
        <v>109</v>
      </c>
      <c r="C10" s="6" t="s">
        <v>110</v>
      </c>
      <c r="D10" s="6" t="s">
        <v>41</v>
      </c>
      <c r="E10" s="6" t="s">
        <v>111</v>
      </c>
      <c r="F10" s="9" t="s">
        <v>43</v>
      </c>
      <c r="G10" s="6" t="s">
        <v>31</v>
      </c>
      <c r="H10" s="9" t="s">
        <v>43</v>
      </c>
      <c r="I10" s="6" t="s">
        <v>112</v>
      </c>
      <c r="J10" s="7" t="s">
        <v>45</v>
      </c>
      <c r="K10" s="6" t="s">
        <v>113</v>
      </c>
      <c r="L10" s="7" t="s">
        <v>45</v>
      </c>
      <c r="M10" s="6" t="s">
        <v>68</v>
      </c>
      <c r="N10" s="6" t="s">
        <v>114</v>
      </c>
      <c r="O10" s="6" t="s">
        <v>115</v>
      </c>
    </row>
    <row r="11" customFormat="false" ht="39" hidden="false" customHeight="true" outlineLevel="0" collapsed="false">
      <c r="A11" s="6" t="s">
        <v>116</v>
      </c>
      <c r="B11" s="6" t="s">
        <v>117</v>
      </c>
      <c r="C11" s="6" t="s">
        <v>118</v>
      </c>
      <c r="D11" s="6" t="s">
        <v>41</v>
      </c>
      <c r="E11" s="6" t="s">
        <v>119</v>
      </c>
      <c r="F11" s="7" t="s">
        <v>45</v>
      </c>
      <c r="G11" s="6" t="s">
        <v>31</v>
      </c>
      <c r="H11" s="9" t="s">
        <v>43</v>
      </c>
      <c r="I11" s="6" t="s">
        <v>120</v>
      </c>
      <c r="J11" s="7" t="s">
        <v>45</v>
      </c>
      <c r="K11" s="6" t="s">
        <v>121</v>
      </c>
      <c r="L11" s="7" t="s">
        <v>45</v>
      </c>
      <c r="M11" s="6" t="s">
        <v>122</v>
      </c>
      <c r="N11" s="6" t="s">
        <v>123</v>
      </c>
      <c r="O11" s="6" t="s">
        <v>124</v>
      </c>
    </row>
    <row r="12" customFormat="false" ht="64.5" hidden="false" customHeight="true" outlineLevel="0" collapsed="false">
      <c r="A12" s="6" t="s">
        <v>125</v>
      </c>
      <c r="B12" s="6" t="s">
        <v>126</v>
      </c>
      <c r="C12" s="6" t="s">
        <v>127</v>
      </c>
      <c r="D12" s="6" t="s">
        <v>41</v>
      </c>
      <c r="E12" s="6" t="s">
        <v>119</v>
      </c>
      <c r="F12" s="7" t="s">
        <v>45</v>
      </c>
      <c r="G12" s="6" t="s">
        <v>31</v>
      </c>
      <c r="H12" s="9" t="s">
        <v>43</v>
      </c>
      <c r="I12" s="6" t="s">
        <v>128</v>
      </c>
      <c r="J12" s="7" t="s">
        <v>45</v>
      </c>
      <c r="K12" s="6" t="s">
        <v>129</v>
      </c>
      <c r="L12" s="7" t="s">
        <v>45</v>
      </c>
      <c r="M12" s="6" t="s">
        <v>68</v>
      </c>
      <c r="N12" s="6" t="s">
        <v>130</v>
      </c>
      <c r="O12" s="6" t="s">
        <v>131</v>
      </c>
    </row>
    <row r="13" customFormat="false" ht="64.5" hidden="false" customHeight="true" outlineLevel="0" collapsed="false">
      <c r="A13" s="6" t="s">
        <v>132</v>
      </c>
      <c r="B13" s="6" t="s">
        <v>133</v>
      </c>
      <c r="C13" s="6" t="s">
        <v>134</v>
      </c>
      <c r="D13" s="6" t="s">
        <v>135</v>
      </c>
      <c r="E13" s="6" t="s">
        <v>136</v>
      </c>
      <c r="F13" s="7" t="s">
        <v>30</v>
      </c>
      <c r="G13" s="6" t="s">
        <v>137</v>
      </c>
      <c r="H13" s="10" t="s">
        <v>138</v>
      </c>
      <c r="I13" s="6" t="s">
        <v>139</v>
      </c>
      <c r="J13" s="10" t="s">
        <v>138</v>
      </c>
      <c r="K13" s="6" t="s">
        <v>140</v>
      </c>
      <c r="L13" s="10" t="s">
        <v>138</v>
      </c>
      <c r="M13" s="6" t="s">
        <v>141</v>
      </c>
      <c r="N13" s="6" t="s">
        <v>142</v>
      </c>
      <c r="O13" s="6" t="s">
        <v>143</v>
      </c>
    </row>
  </sheetData>
  <autoFilter ref="A1:O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11" t="s">
        <v>144</v>
      </c>
    </row>
    <row r="3" customFormat="false" ht="26.25" hidden="false" customHeight="true" outlineLevel="0" collapsed="false">
      <c r="A3" s="5" t="s">
        <v>145</v>
      </c>
      <c r="B3" s="5" t="s">
        <v>146</v>
      </c>
      <c r="C3" s="5" t="s">
        <v>147</v>
      </c>
      <c r="D3" s="5" t="s">
        <v>148</v>
      </c>
      <c r="E3" s="5" t="s">
        <v>149</v>
      </c>
      <c r="F3" s="5" t="s">
        <v>150</v>
      </c>
    </row>
    <row r="4" customFormat="false" ht="15" hidden="false" customHeight="true" outlineLevel="0" collapsed="false">
      <c r="A4" s="6" t="s">
        <v>151</v>
      </c>
      <c r="B4" s="6" t="n">
        <f aca="false">COUNTIF('Verified Matrix'!$D$2:$D$13,"Vulnerable")</f>
        <v>10</v>
      </c>
      <c r="C4" s="6" t="n">
        <f aca="false">COUNTIF('Verified Matrix'!$D$2:$D$13,"Vulnerable")</f>
        <v>10</v>
      </c>
      <c r="D4" s="6" t="n">
        <f aca="false">COUNTIF('Verified Matrix'!$D$2:$D$13,"Vulnerable")</f>
        <v>10</v>
      </c>
      <c r="E4" s="6" t="n">
        <f aca="false">COUNTIF('Verified Matrix'!$D$2:$D$13,"Vulnerable")</f>
        <v>10</v>
      </c>
      <c r="F4" s="6" t="s">
        <v>152</v>
      </c>
    </row>
    <row r="5" customFormat="false" ht="15" hidden="false" customHeight="true" outlineLevel="0" collapsed="false">
      <c r="A5" s="6" t="s">
        <v>153</v>
      </c>
      <c r="B5" s="6" t="n">
        <f aca="false">COUNTIFS('Verified Matrix'!$D$2:$D$13,"Vulnerable",'Verified Matrix'!$F$2:$F$13,"TP")</f>
        <v>5</v>
      </c>
      <c r="C5" s="6" t="n">
        <f aca="false">COUNTIFS('Verified Matrix'!$D$2:$D$13,"Vulnerable",'Verified Matrix'!$H$2:$H$13,"TP")</f>
        <v>4</v>
      </c>
      <c r="D5" s="6" t="n">
        <f aca="false">COUNTIFS('Verified Matrix'!$D$2:$D$13,"Vulnerable",'Verified Matrix'!$J$2:$J$13,"TP")</f>
        <v>9</v>
      </c>
      <c r="E5" s="6" t="n">
        <f aca="false">COUNTIFS('Verified Matrix'!$D$2:$D$13,"Vulnerable",'Verified Matrix'!$L$2:$L$13,"TP")</f>
        <v>10</v>
      </c>
      <c r="F5" s="6" t="s">
        <v>154</v>
      </c>
    </row>
    <row r="6" customFormat="false" ht="15" hidden="false" customHeight="true" outlineLevel="0" collapsed="false">
      <c r="A6" s="6" t="s">
        <v>155</v>
      </c>
      <c r="B6" s="6" t="n">
        <f aca="false">COUNTIFS('Verified Matrix'!$D$2:$D$13,"Vulnerable",'Verified Matrix'!$F$2:$F$13,"FN")</f>
        <v>5</v>
      </c>
      <c r="C6" s="6" t="n">
        <f aca="false">COUNTIFS('Verified Matrix'!$D$2:$D$13,"Vulnerable",'Verified Matrix'!$H$2:$H$13,"FN")</f>
        <v>6</v>
      </c>
      <c r="D6" s="6" t="n">
        <f aca="false">COUNTIFS('Verified Matrix'!$D$2:$D$13,"Vulnerable",'Verified Matrix'!$J$2:$J$13,"FN")</f>
        <v>0</v>
      </c>
      <c r="E6" s="6" t="n">
        <f aca="false">COUNTIFS('Verified Matrix'!$D$2:$D$13,"Vulnerable",'Verified Matrix'!$L$2:$L$13,"FN")</f>
        <v>0</v>
      </c>
      <c r="F6" s="6"/>
    </row>
    <row r="7" customFormat="false" ht="15" hidden="false" customHeight="true" outlineLevel="0" collapsed="false">
      <c r="A7" s="6" t="s">
        <v>156</v>
      </c>
      <c r="B7" s="6" t="n">
        <f aca="false">COUNTIFS('Verified Matrix'!$D$2:$D$13,"Vulnerable",'Verified Matrix'!$F$2:$F$13,"PARTIAL")</f>
        <v>0</v>
      </c>
      <c r="C7" s="6" t="n">
        <f aca="false">COUNTIFS('Verified Matrix'!$D$2:$D$13,"Vulnerable",'Verified Matrix'!$H$2:$H$13,"PARTIAL")</f>
        <v>0</v>
      </c>
      <c r="D7" s="6" t="n">
        <f aca="false">COUNTIFS('Verified Matrix'!$D$2:$D$13,"Vulnerable",'Verified Matrix'!$J$2:$J$13,"PARTIAL")</f>
        <v>1</v>
      </c>
      <c r="E7" s="6" t="n">
        <f aca="false">COUNTIFS('Verified Matrix'!$D$2:$D$13,"Vulnerable",'Verified Matrix'!$L$2:$L$13,"PARTIAL")</f>
        <v>0</v>
      </c>
      <c r="F7" s="6" t="s">
        <v>157</v>
      </c>
    </row>
    <row r="8" customFormat="false" ht="26.25" hidden="false" customHeight="true" outlineLevel="0" collapsed="false">
      <c r="A8" s="6" t="s">
        <v>158</v>
      </c>
      <c r="B8" s="12" t="n">
        <f aca="false">IFERROR(B5/B4,0)</f>
        <v>0.5</v>
      </c>
      <c r="C8" s="12" t="n">
        <f aca="false">IFERROR(C5/C4,0)</f>
        <v>0.4</v>
      </c>
      <c r="D8" s="12" t="n">
        <f aca="false">IFERROR(D5/D4,0)</f>
        <v>0.9</v>
      </c>
      <c r="E8" s="12" t="n">
        <f aca="false">IFERROR(E5/E4,0)</f>
        <v>1</v>
      </c>
      <c r="F8" s="6" t="s">
        <v>159</v>
      </c>
    </row>
    <row r="9" customFormat="false" ht="15" hidden="false" customHeight="true" outlineLevel="0" collapsed="false">
      <c r="A9" s="6" t="s">
        <v>160</v>
      </c>
      <c r="B9" s="6" t="n">
        <f aca="false">COUNTIFS('Verified Matrix'!$D$2:$D$13,"Secure",'Verified Matrix'!$F$2:$F$13,"TN")</f>
        <v>1</v>
      </c>
      <c r="C9" s="6" t="n">
        <f aca="false">COUNTIFS('Verified Matrix'!$D$2:$D$13,"Secure",'Verified Matrix'!$H$2:$H$13,"TN")</f>
        <v>1</v>
      </c>
      <c r="D9" s="6" t="n">
        <f aca="false">COUNTIFS('Verified Matrix'!$D$2:$D$13,"Secure",'Verified Matrix'!$J$2:$J$13,"TN")</f>
        <v>1</v>
      </c>
      <c r="E9" s="6" t="n">
        <f aca="false">COUNTIFS('Verified Matrix'!$D$2:$D$13,"Secure",'Verified Matrix'!$L$2:$L$13,"TN")</f>
        <v>0</v>
      </c>
      <c r="F9" s="6" t="s">
        <v>161</v>
      </c>
    </row>
    <row r="10" customFormat="false" ht="15" hidden="false" customHeight="true" outlineLevel="0" collapsed="false">
      <c r="A10" s="6" t="s">
        <v>162</v>
      </c>
      <c r="B10" s="6" t="n">
        <f aca="false">COUNTIFS('Verified Matrix'!$D$2:$D$13,"Secure",'Verified Matrix'!$F$2:$F$13,"UNVERIFIED")</f>
        <v>0</v>
      </c>
      <c r="C10" s="6" t="n">
        <f aca="false">COUNTIFS('Verified Matrix'!$D$2:$D$13,"Secure",'Verified Matrix'!$H$2:$H$13,"UNVERIFIED")</f>
        <v>0</v>
      </c>
      <c r="D10" s="6" t="n">
        <f aca="false">COUNTIFS('Verified Matrix'!$D$2:$D$13,"Secure",'Verified Matrix'!$J$2:$J$13,"UNVERIFIED")</f>
        <v>0</v>
      </c>
      <c r="E10" s="6" t="n">
        <f aca="false">COUNTIFS('Verified Matrix'!$D$2:$D$13,"Secure",'Verified Matrix'!$L$2:$L$13,"UNVERIFIED")</f>
        <v>1</v>
      </c>
      <c r="F10" s="6" t="s">
        <v>163</v>
      </c>
    </row>
    <row r="11" customFormat="false" ht="15" hidden="false" customHeight="true" outlineLevel="0" collapsed="false">
      <c r="A11" s="6" t="s">
        <v>164</v>
      </c>
      <c r="B11" s="6" t="n">
        <f aca="false">COUNTIFS('Verified Matrix'!$D$2:$D$13,"Legitimate",'Verified Matrix'!$F$2:$F$13,"TN")</f>
        <v>1</v>
      </c>
      <c r="C11" s="6" t="n">
        <f aca="false">COUNTIFS('Verified Matrix'!$D$2:$D$13,"Legitimate",'Verified Matrix'!$H$2:$H$13,"TN")</f>
        <v>0</v>
      </c>
      <c r="D11" s="6" t="n">
        <f aca="false">COUNTIFS('Verified Matrix'!$D$2:$D$13,"Legitimate",'Verified Matrix'!$J$2:$J$13,"TN")</f>
        <v>0</v>
      </c>
      <c r="E11" s="6" t="n">
        <f aca="false">COUNTIFS('Verified Matrix'!$D$2:$D$13,"Legitimate",'Verified Matrix'!$L$2:$L$13,"TN")</f>
        <v>0</v>
      </c>
      <c r="F11" s="6" t="s">
        <v>161</v>
      </c>
    </row>
    <row r="12" customFormat="false" ht="26.25" hidden="false" customHeight="true" outlineLevel="0" collapsed="false">
      <c r="A12" s="6" t="s">
        <v>165</v>
      </c>
      <c r="B12" s="6" t="n">
        <f aca="false">COUNTIFS('Verified Matrix'!$D$2:$D$13,"Legitimate",'Verified Matrix'!$F$2:$F$13,"CONTEXT")</f>
        <v>0</v>
      </c>
      <c r="C12" s="6" t="n">
        <f aca="false">COUNTIFS('Verified Matrix'!$D$2:$D$13,"Legitimate",'Verified Matrix'!$H$2:$H$13,"CONTEXT")</f>
        <v>1</v>
      </c>
      <c r="D12" s="6" t="n">
        <f aca="false">COUNTIFS('Verified Matrix'!$D$2:$D$13,"Legitimate",'Verified Matrix'!$J$2:$J$13,"CONTEXT")</f>
        <v>1</v>
      </c>
      <c r="E12" s="6" t="n">
        <f aca="false">COUNTIFS('Verified Matrix'!$D$2:$D$13,"Legitimate",'Verified Matrix'!$L$2:$L$13,"CONTEXT")</f>
        <v>1</v>
      </c>
      <c r="F12" s="6" t="s">
        <v>166</v>
      </c>
    </row>
    <row r="15" customFormat="false" ht="15" hidden="false" customHeight="true" outlineLevel="0" collapsed="false">
      <c r="A15" s="13" t="s">
        <v>167</v>
      </c>
    </row>
    <row r="16" customFormat="false" ht="15" hidden="false" customHeight="true" outlineLevel="0" collapsed="false">
      <c r="A16" s="6" t="s">
        <v>168</v>
      </c>
      <c r="B16" s="6" t="n">
        <f aca="false">SUMPRODUCT(('Verified Matrix'!$D$2:$D$13="Vulnerable")*((('Verified Matrix'!$F$2:$F$13="TP")+('Verified Matrix'!$H$2:$H$13="TP"))&gt;0))</f>
        <v>8</v>
      </c>
      <c r="C16" s="6"/>
      <c r="D16" s="6"/>
      <c r="E16" s="6"/>
      <c r="F16" s="6" t="s">
        <v>169</v>
      </c>
    </row>
    <row r="17" customFormat="false" ht="26.25" hidden="false" customHeight="true" outlineLevel="0" collapsed="false">
      <c r="A17" s="6" t="s">
        <v>170</v>
      </c>
      <c r="B17" s="6" t="n">
        <f aca="false">SUMPRODUCT(('Verified Matrix'!$D$2:$D$13="Vulnerable")*('Verified Matrix'!$J$2:$J$13="TP")*('Verified Matrix'!$F$2:$F$13&lt;&gt;"TP")*('Verified Matrix'!$H$2:$H$13&lt;&gt;"TP"))</f>
        <v>1</v>
      </c>
      <c r="C17" s="6"/>
      <c r="D17" s="6"/>
      <c r="E17" s="6"/>
      <c r="F17" s="6" t="s">
        <v>171</v>
      </c>
    </row>
    <row r="18" customFormat="false" ht="26.25" hidden="false" customHeight="true" outlineLevel="0" collapsed="false">
      <c r="A18" s="6" t="s">
        <v>172</v>
      </c>
      <c r="B18" s="6" t="n">
        <f aca="false">SUMPRODUCT(('Verified Matrix'!$D$2:$D$13="Vulnerable")*(((('Verified Matrix'!$F$2:$F$13="TP")+('Verified Matrix'!$H$2:$H$13="TP"))&gt;0))*('Verified Matrix'!$J$2:$J$13&lt;&gt;"TP"))</f>
        <v>0</v>
      </c>
      <c r="C18" s="6"/>
      <c r="D18" s="6"/>
      <c r="E18" s="6"/>
      <c r="F18" s="6" t="s">
        <v>173</v>
      </c>
    </row>
    <row r="19" customFormat="false" ht="15" hidden="false" customHeight="true" outlineLevel="0" collapsed="false">
      <c r="A19" s="6" t="s">
        <v>174</v>
      </c>
      <c r="B19" s="6" t="n">
        <f aca="false">SUMPRODUCT(('Verified Matrix'!$D$2:$D$13="Vulnerable")*('Verified Matrix'!$F$2:$F$13&lt;&gt;"TP")*('Verified Matrix'!$H$2:$H$13&lt;&gt;"TP")*('Verified Matrix'!$J$2:$J$13&lt;&gt;"TP")*('Verified Matrix'!$J$2:$J$13&lt;&gt;"PARTIAL"))</f>
        <v>0</v>
      </c>
      <c r="C19" s="6"/>
      <c r="D19" s="6"/>
      <c r="E19" s="6"/>
      <c r="F19" s="6"/>
    </row>
    <row r="21" customFormat="false" ht="15" hidden="false" customHeight="true" outlineLevel="0" collapsed="false">
      <c r="A21" s="14" t="s">
        <v>175</v>
      </c>
      <c r="B21" s="14"/>
      <c r="C21" s="14"/>
      <c r="D21" s="14"/>
      <c r="E21" s="14"/>
      <c r="F21" s="14"/>
    </row>
    <row r="22" customFormat="false" ht="15" hidden="false" customHeight="true" outlineLevel="0" collapsed="false">
      <c r="A22" s="14"/>
      <c r="B22" s="14"/>
      <c r="C22" s="14"/>
      <c r="D22" s="14"/>
      <c r="E22" s="14"/>
      <c r="F22" s="14"/>
    </row>
  </sheetData>
  <mergeCells count="1">
    <mergeCell ref="A21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9"/>
    <col collapsed="false" customWidth="true" hidden="false" outlineLevel="0" max="8" min="7" style="1" width="13"/>
    <col collapsed="false" customWidth="true" hidden="false" outlineLevel="0" max="9" min="9" style="1" width="14"/>
    <col collapsed="false" customWidth="true" hidden="false" outlineLevel="0" max="11" min="10" style="1" width="55"/>
    <col collapsed="false" customWidth="true" hidden="false" outlineLevel="0" max="12" min="12" style="1" width="9"/>
    <col collapsed="false" customWidth="true" hidden="false" outlineLevel="0" max="13" min="13" style="1" width="22"/>
  </cols>
  <sheetData>
    <row r="1" customFormat="false" ht="51.75" hidden="false" customHeight="true" outlineLevel="0" collapsed="false">
      <c r="A1" s="5" t="s">
        <v>10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  <c r="M1" s="5" t="s">
        <v>187</v>
      </c>
    </row>
    <row r="2" customFormat="false" ht="39" hidden="false" customHeight="true" outlineLevel="0" collapsed="false">
      <c r="A2" s="6" t="s">
        <v>25</v>
      </c>
      <c r="B2" s="6" t="n">
        <v>70</v>
      </c>
      <c r="C2" s="6" t="n">
        <v>38404582550</v>
      </c>
      <c r="D2" s="6" t="s">
        <v>188</v>
      </c>
      <c r="E2" s="6" t="s">
        <v>189</v>
      </c>
      <c r="F2" s="6" t="s">
        <v>190</v>
      </c>
      <c r="G2" s="6" t="s">
        <v>191</v>
      </c>
      <c r="H2" s="6" t="s">
        <v>192</v>
      </c>
      <c r="I2" s="6" t="s">
        <v>193</v>
      </c>
      <c r="J2" s="6" t="s">
        <v>194</v>
      </c>
      <c r="K2" s="6" t="s">
        <v>195</v>
      </c>
      <c r="L2" s="6" t="n">
        <v>100</v>
      </c>
      <c r="M2" s="6" t="s">
        <v>196</v>
      </c>
    </row>
    <row r="3" customFormat="false" ht="26.25" hidden="false" customHeight="true" outlineLevel="0" collapsed="false">
      <c r="A3" s="6" t="s">
        <v>25</v>
      </c>
      <c r="B3" s="6" t="n">
        <v>70</v>
      </c>
      <c r="C3" s="6" t="n">
        <v>38405003190</v>
      </c>
      <c r="D3" s="6" t="s">
        <v>197</v>
      </c>
      <c r="E3" s="6" t="s">
        <v>198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194</v>
      </c>
      <c r="L3" s="6" t="n">
        <v>100</v>
      </c>
      <c r="M3" s="6" t="s">
        <v>196</v>
      </c>
    </row>
    <row r="4" customFormat="false" ht="77.25" hidden="false" customHeight="true" outlineLevel="0" collapsed="false">
      <c r="A4" s="6" t="s">
        <v>25</v>
      </c>
      <c r="B4" s="6" t="n">
        <v>70</v>
      </c>
      <c r="C4" s="6" t="n">
        <v>38405111880</v>
      </c>
      <c r="D4" s="6" t="s">
        <v>197</v>
      </c>
      <c r="E4" s="6" t="s">
        <v>199</v>
      </c>
      <c r="F4" s="6" t="s">
        <v>190</v>
      </c>
      <c r="G4" s="6" t="s">
        <v>191</v>
      </c>
      <c r="H4" s="6" t="s">
        <v>192</v>
      </c>
      <c r="I4" s="6" t="s">
        <v>193</v>
      </c>
      <c r="J4" s="6" t="s">
        <v>194</v>
      </c>
      <c r="K4" s="6" t="s">
        <v>200</v>
      </c>
      <c r="L4" s="6" t="n">
        <v>100</v>
      </c>
      <c r="M4" s="6" t="s">
        <v>196</v>
      </c>
    </row>
    <row r="5" customFormat="false" ht="26.25" hidden="false" customHeight="true" outlineLevel="0" collapsed="false">
      <c r="A5" s="6" t="s">
        <v>38</v>
      </c>
      <c r="B5" s="6" t="n">
        <v>71</v>
      </c>
      <c r="C5" s="6" t="n">
        <v>38404584887</v>
      </c>
      <c r="D5" s="6" t="s">
        <v>188</v>
      </c>
      <c r="E5" s="6" t="s">
        <v>189</v>
      </c>
      <c r="F5" s="6" t="s">
        <v>201</v>
      </c>
      <c r="G5" s="6" t="s">
        <v>191</v>
      </c>
      <c r="H5" s="6" t="s">
        <v>192</v>
      </c>
      <c r="I5" s="6" t="s">
        <v>193</v>
      </c>
      <c r="J5" s="6" t="s">
        <v>202</v>
      </c>
      <c r="K5" s="6" t="s">
        <v>194</v>
      </c>
      <c r="L5" s="6" t="n">
        <v>70</v>
      </c>
      <c r="M5" s="6" t="s">
        <v>203</v>
      </c>
    </row>
    <row r="6" customFormat="false" ht="26.25" hidden="false" customHeight="true" outlineLevel="0" collapsed="false">
      <c r="A6" s="6" t="s">
        <v>38</v>
      </c>
      <c r="B6" s="6" t="n">
        <v>71</v>
      </c>
      <c r="C6" s="6" t="n">
        <v>38405012851</v>
      </c>
      <c r="D6" s="6" t="s">
        <v>197</v>
      </c>
      <c r="E6" s="6" t="s">
        <v>204</v>
      </c>
      <c r="F6" s="6" t="s">
        <v>201</v>
      </c>
      <c r="G6" s="6" t="s">
        <v>191</v>
      </c>
      <c r="H6" s="6" t="s">
        <v>192</v>
      </c>
      <c r="I6" s="6" t="s">
        <v>193</v>
      </c>
      <c r="J6" s="6" t="s">
        <v>205</v>
      </c>
      <c r="K6" s="6" t="s">
        <v>194</v>
      </c>
      <c r="L6" s="6" t="n">
        <v>70</v>
      </c>
      <c r="M6" s="6" t="s">
        <v>203</v>
      </c>
    </row>
    <row r="7" customFormat="false" ht="26.25" hidden="false" customHeight="true" outlineLevel="0" collapsed="false">
      <c r="A7" s="6" t="s">
        <v>38</v>
      </c>
      <c r="B7" s="6" t="n">
        <v>71</v>
      </c>
      <c r="C7" s="6" t="n">
        <v>38405121064</v>
      </c>
      <c r="D7" s="6" t="s">
        <v>197</v>
      </c>
      <c r="E7" s="6" t="s">
        <v>206</v>
      </c>
      <c r="F7" s="6" t="s">
        <v>201</v>
      </c>
      <c r="G7" s="6" t="s">
        <v>191</v>
      </c>
      <c r="H7" s="6" t="s">
        <v>192</v>
      </c>
      <c r="I7" s="6" t="s">
        <v>193</v>
      </c>
      <c r="J7" s="6" t="s">
        <v>207</v>
      </c>
      <c r="K7" s="6" t="s">
        <v>194</v>
      </c>
      <c r="L7" s="6" t="n">
        <v>70</v>
      </c>
      <c r="M7" s="6" t="s">
        <v>203</v>
      </c>
    </row>
    <row r="8" customFormat="false" ht="26.25" hidden="false" customHeight="true" outlineLevel="0" collapsed="false">
      <c r="A8" s="6" t="s">
        <v>51</v>
      </c>
      <c r="B8" s="6" t="n">
        <v>72</v>
      </c>
      <c r="C8" s="6" t="n">
        <v>38404589228</v>
      </c>
      <c r="D8" s="6" t="s">
        <v>188</v>
      </c>
      <c r="E8" s="6" t="s">
        <v>208</v>
      </c>
      <c r="F8" s="6" t="s">
        <v>209</v>
      </c>
      <c r="G8" s="6" t="s">
        <v>191</v>
      </c>
      <c r="H8" s="6" t="s">
        <v>192</v>
      </c>
      <c r="I8" s="6" t="s">
        <v>193</v>
      </c>
      <c r="J8" s="6" t="s">
        <v>210</v>
      </c>
      <c r="K8" s="6" t="s">
        <v>194</v>
      </c>
      <c r="L8" s="6" t="n">
        <v>70</v>
      </c>
      <c r="M8" s="6" t="s">
        <v>203</v>
      </c>
    </row>
    <row r="9" customFormat="false" ht="26.25" hidden="false" customHeight="true" outlineLevel="0" collapsed="false">
      <c r="A9" s="6" t="s">
        <v>51</v>
      </c>
      <c r="B9" s="6" t="n">
        <v>72</v>
      </c>
      <c r="C9" s="6" t="n">
        <v>38405022162</v>
      </c>
      <c r="D9" s="6" t="s">
        <v>197</v>
      </c>
      <c r="E9" s="6" t="s">
        <v>211</v>
      </c>
      <c r="F9" s="6" t="s">
        <v>209</v>
      </c>
      <c r="G9" s="6" t="s">
        <v>191</v>
      </c>
      <c r="H9" s="6" t="s">
        <v>192</v>
      </c>
      <c r="I9" s="6" t="s">
        <v>193</v>
      </c>
      <c r="J9" s="6" t="s">
        <v>212</v>
      </c>
      <c r="K9" s="6" t="s">
        <v>194</v>
      </c>
      <c r="L9" s="6" t="n">
        <v>70</v>
      </c>
      <c r="M9" s="6" t="s">
        <v>203</v>
      </c>
    </row>
    <row r="10" customFormat="false" ht="77.25" hidden="false" customHeight="true" outlineLevel="0" collapsed="false">
      <c r="A10" s="6" t="s">
        <v>51</v>
      </c>
      <c r="B10" s="6" t="n">
        <v>72</v>
      </c>
      <c r="C10" s="6" t="n">
        <v>38405130215</v>
      </c>
      <c r="D10" s="6" t="s">
        <v>197</v>
      </c>
      <c r="E10" s="6" t="s">
        <v>213</v>
      </c>
      <c r="F10" s="6" t="s">
        <v>209</v>
      </c>
      <c r="G10" s="6" t="s">
        <v>191</v>
      </c>
      <c r="H10" s="6" t="s">
        <v>192</v>
      </c>
      <c r="I10" s="6" t="s">
        <v>193</v>
      </c>
      <c r="J10" s="6" t="s">
        <v>214</v>
      </c>
      <c r="K10" s="6" t="s">
        <v>194</v>
      </c>
      <c r="L10" s="6" t="n">
        <v>40</v>
      </c>
      <c r="M10" s="6" t="s">
        <v>215</v>
      </c>
    </row>
    <row r="11" customFormat="false" ht="39" hidden="false" customHeight="true" outlineLevel="0" collapsed="false">
      <c r="A11" s="6" t="s">
        <v>61</v>
      </c>
      <c r="B11" s="6" t="n">
        <v>73</v>
      </c>
      <c r="C11" s="6" t="n">
        <v>38404592498</v>
      </c>
      <c r="D11" s="6" t="s">
        <v>188</v>
      </c>
      <c r="E11" s="6" t="s">
        <v>216</v>
      </c>
      <c r="F11" s="6" t="s">
        <v>217</v>
      </c>
      <c r="G11" s="6" t="s">
        <v>191</v>
      </c>
      <c r="H11" s="6" t="s">
        <v>192</v>
      </c>
      <c r="I11" s="6" t="s">
        <v>193</v>
      </c>
      <c r="J11" s="6" t="s">
        <v>218</v>
      </c>
      <c r="K11" s="6" t="s">
        <v>194</v>
      </c>
      <c r="L11" s="6" t="n">
        <v>70</v>
      </c>
      <c r="M11" s="6" t="s">
        <v>203</v>
      </c>
    </row>
    <row r="12" customFormat="false" ht="39" hidden="false" customHeight="true" outlineLevel="0" collapsed="false">
      <c r="A12" s="6" t="s">
        <v>61</v>
      </c>
      <c r="B12" s="6" t="n">
        <v>73</v>
      </c>
      <c r="C12" s="6" t="n">
        <v>38405031009</v>
      </c>
      <c r="D12" s="6" t="s">
        <v>197</v>
      </c>
      <c r="E12" s="6" t="s">
        <v>219</v>
      </c>
      <c r="F12" s="6" t="s">
        <v>217</v>
      </c>
      <c r="G12" s="6" t="s">
        <v>191</v>
      </c>
      <c r="H12" s="6" t="s">
        <v>192</v>
      </c>
      <c r="I12" s="6" t="s">
        <v>193</v>
      </c>
      <c r="J12" s="6" t="s">
        <v>220</v>
      </c>
      <c r="K12" s="6" t="s">
        <v>194</v>
      </c>
      <c r="L12" s="6" t="n">
        <v>70</v>
      </c>
      <c r="M12" s="6" t="s">
        <v>203</v>
      </c>
    </row>
    <row r="13" customFormat="false" ht="26.25" hidden="false" customHeight="true" outlineLevel="0" collapsed="false">
      <c r="A13" s="6" t="s">
        <v>61</v>
      </c>
      <c r="B13" s="6" t="n">
        <v>73</v>
      </c>
      <c r="C13" s="6" t="n">
        <v>38405139458</v>
      </c>
      <c r="D13" s="6" t="s">
        <v>197</v>
      </c>
      <c r="E13" s="6" t="s">
        <v>221</v>
      </c>
      <c r="F13" s="6" t="s">
        <v>217</v>
      </c>
      <c r="G13" s="6" t="s">
        <v>191</v>
      </c>
      <c r="H13" s="6" t="s">
        <v>192</v>
      </c>
      <c r="I13" s="6" t="s">
        <v>193</v>
      </c>
      <c r="J13" s="6" t="s">
        <v>222</v>
      </c>
      <c r="K13" s="6" t="s">
        <v>194</v>
      </c>
      <c r="L13" s="6" t="n">
        <v>70</v>
      </c>
      <c r="M13" s="6" t="s">
        <v>203</v>
      </c>
    </row>
    <row r="14" customFormat="false" ht="26.25" hidden="false" customHeight="true" outlineLevel="0" collapsed="false">
      <c r="A14" s="6" t="s">
        <v>71</v>
      </c>
      <c r="B14" s="6" t="n">
        <v>74</v>
      </c>
      <c r="C14" s="6" t="n">
        <v>38404594354</v>
      </c>
      <c r="D14" s="6" t="s">
        <v>188</v>
      </c>
      <c r="E14" s="6" t="s">
        <v>223</v>
      </c>
      <c r="F14" s="6" t="s">
        <v>224</v>
      </c>
      <c r="G14" s="6" t="s">
        <v>191</v>
      </c>
      <c r="H14" s="6" t="s">
        <v>192</v>
      </c>
      <c r="I14" s="6" t="s">
        <v>193</v>
      </c>
      <c r="J14" s="6" t="s">
        <v>225</v>
      </c>
      <c r="K14" s="6" t="s">
        <v>226</v>
      </c>
      <c r="L14" s="6" t="n">
        <v>70</v>
      </c>
      <c r="M14" s="6" t="s">
        <v>203</v>
      </c>
    </row>
    <row r="15" customFormat="false" ht="26.25" hidden="false" customHeight="true" outlineLevel="0" collapsed="false">
      <c r="A15" s="6" t="s">
        <v>71</v>
      </c>
      <c r="B15" s="6" t="n">
        <v>74</v>
      </c>
      <c r="C15" s="6" t="n">
        <v>38405039302</v>
      </c>
      <c r="D15" s="6" t="s">
        <v>197</v>
      </c>
      <c r="E15" s="6" t="s">
        <v>227</v>
      </c>
      <c r="F15" s="6" t="s">
        <v>224</v>
      </c>
      <c r="G15" s="6" t="s">
        <v>191</v>
      </c>
      <c r="H15" s="6" t="s">
        <v>192</v>
      </c>
      <c r="I15" s="6" t="s">
        <v>193</v>
      </c>
      <c r="J15" s="6" t="s">
        <v>228</v>
      </c>
      <c r="K15" s="6" t="s">
        <v>229</v>
      </c>
      <c r="L15" s="6" t="n">
        <v>70</v>
      </c>
      <c r="M15" s="6" t="s">
        <v>203</v>
      </c>
    </row>
    <row r="16" customFormat="false" ht="26.25" hidden="false" customHeight="true" outlineLevel="0" collapsed="false">
      <c r="A16" s="6" t="s">
        <v>71</v>
      </c>
      <c r="B16" s="6" t="n">
        <v>74</v>
      </c>
      <c r="C16" s="6" t="n">
        <v>38405149036</v>
      </c>
      <c r="D16" s="6" t="s">
        <v>197</v>
      </c>
      <c r="E16" s="6" t="s">
        <v>230</v>
      </c>
      <c r="F16" s="6" t="s">
        <v>224</v>
      </c>
      <c r="G16" s="6" t="s">
        <v>191</v>
      </c>
      <c r="H16" s="6" t="s">
        <v>192</v>
      </c>
      <c r="I16" s="6" t="s">
        <v>193</v>
      </c>
      <c r="J16" s="6" t="s">
        <v>231</v>
      </c>
      <c r="K16" s="6" t="s">
        <v>232</v>
      </c>
      <c r="L16" s="6" t="n">
        <v>85</v>
      </c>
      <c r="M16" s="6" t="s">
        <v>196</v>
      </c>
    </row>
    <row r="17" customFormat="false" ht="26.25" hidden="false" customHeight="true" outlineLevel="0" collapsed="false">
      <c r="A17" s="6" t="s">
        <v>80</v>
      </c>
      <c r="B17" s="6" t="n">
        <v>75</v>
      </c>
      <c r="C17" s="6" t="n">
        <v>38404596950</v>
      </c>
      <c r="D17" s="6" t="s">
        <v>188</v>
      </c>
      <c r="E17" s="6" t="s">
        <v>233</v>
      </c>
      <c r="F17" s="6" t="s">
        <v>234</v>
      </c>
      <c r="G17" s="6" t="s">
        <v>191</v>
      </c>
      <c r="H17" s="6" t="s">
        <v>192</v>
      </c>
      <c r="I17" s="6" t="s">
        <v>193</v>
      </c>
      <c r="J17" s="6" t="s">
        <v>235</v>
      </c>
      <c r="K17" s="6" t="s">
        <v>194</v>
      </c>
      <c r="L17" s="6" t="n">
        <v>85</v>
      </c>
      <c r="M17" s="6" t="s">
        <v>196</v>
      </c>
    </row>
    <row r="18" customFormat="false" ht="26.25" hidden="false" customHeight="true" outlineLevel="0" collapsed="false">
      <c r="A18" s="6" t="s">
        <v>80</v>
      </c>
      <c r="B18" s="6" t="n">
        <v>75</v>
      </c>
      <c r="C18" s="6" t="n">
        <v>38405047995</v>
      </c>
      <c r="D18" s="6" t="s">
        <v>197</v>
      </c>
      <c r="E18" s="6" t="s">
        <v>236</v>
      </c>
      <c r="F18" s="6" t="s">
        <v>234</v>
      </c>
      <c r="G18" s="6" t="s">
        <v>191</v>
      </c>
      <c r="H18" s="6" t="s">
        <v>192</v>
      </c>
      <c r="I18" s="6" t="s">
        <v>193</v>
      </c>
      <c r="J18" s="6" t="s">
        <v>237</v>
      </c>
      <c r="K18" s="6" t="s">
        <v>194</v>
      </c>
      <c r="L18" s="6" t="n">
        <v>85</v>
      </c>
      <c r="M18" s="6" t="s">
        <v>196</v>
      </c>
    </row>
    <row r="19" customFormat="false" ht="26.25" hidden="false" customHeight="true" outlineLevel="0" collapsed="false">
      <c r="A19" s="6" t="s">
        <v>80</v>
      </c>
      <c r="B19" s="6" t="n">
        <v>75</v>
      </c>
      <c r="C19" s="6" t="n">
        <v>38405157604</v>
      </c>
      <c r="D19" s="6" t="s">
        <v>197</v>
      </c>
      <c r="E19" s="6" t="s">
        <v>238</v>
      </c>
      <c r="F19" s="6" t="s">
        <v>234</v>
      </c>
      <c r="G19" s="6" t="s">
        <v>191</v>
      </c>
      <c r="H19" s="6" t="s">
        <v>192</v>
      </c>
      <c r="I19" s="6" t="s">
        <v>193</v>
      </c>
      <c r="J19" s="6" t="s">
        <v>239</v>
      </c>
      <c r="K19" s="6" t="s">
        <v>194</v>
      </c>
      <c r="L19" s="6" t="n">
        <v>85</v>
      </c>
      <c r="M19" s="6" t="s">
        <v>196</v>
      </c>
    </row>
    <row r="20" customFormat="false" ht="64.5" hidden="false" customHeight="true" outlineLevel="0" collapsed="false">
      <c r="A20" s="6" t="s">
        <v>89</v>
      </c>
      <c r="B20" s="6" t="n">
        <v>76</v>
      </c>
      <c r="C20" s="6" t="n">
        <v>38404600206</v>
      </c>
      <c r="D20" s="6" t="s">
        <v>188</v>
      </c>
      <c r="E20" s="6" t="s">
        <v>233</v>
      </c>
      <c r="F20" s="6" t="s">
        <v>240</v>
      </c>
      <c r="G20" s="6" t="s">
        <v>191</v>
      </c>
      <c r="H20" s="6" t="s">
        <v>192</v>
      </c>
      <c r="I20" s="6" t="s">
        <v>193</v>
      </c>
      <c r="J20" s="6" t="s">
        <v>241</v>
      </c>
      <c r="K20" s="6" t="s">
        <v>242</v>
      </c>
      <c r="L20" s="6" t="n">
        <v>65</v>
      </c>
      <c r="M20" s="6" t="s">
        <v>215</v>
      </c>
    </row>
    <row r="21" customFormat="false" ht="51.75" hidden="false" customHeight="true" outlineLevel="0" collapsed="false">
      <c r="A21" s="6" t="s">
        <v>89</v>
      </c>
      <c r="B21" s="6" t="n">
        <v>76</v>
      </c>
      <c r="C21" s="6" t="n">
        <v>38405057461</v>
      </c>
      <c r="D21" s="6" t="s">
        <v>197</v>
      </c>
      <c r="E21" s="6" t="s">
        <v>243</v>
      </c>
      <c r="F21" s="6" t="s">
        <v>240</v>
      </c>
      <c r="G21" s="6" t="s">
        <v>191</v>
      </c>
      <c r="H21" s="6" t="s">
        <v>192</v>
      </c>
      <c r="I21" s="6" t="s">
        <v>193</v>
      </c>
      <c r="J21" s="6" t="s">
        <v>244</v>
      </c>
      <c r="K21" s="6" t="s">
        <v>245</v>
      </c>
      <c r="L21" s="6" t="n">
        <v>65</v>
      </c>
      <c r="M21" s="6" t="s">
        <v>215</v>
      </c>
    </row>
    <row r="22" customFormat="false" ht="51.75" hidden="false" customHeight="true" outlineLevel="0" collapsed="false">
      <c r="A22" s="6" t="s">
        <v>89</v>
      </c>
      <c r="B22" s="6" t="n">
        <v>76</v>
      </c>
      <c r="C22" s="6" t="n">
        <v>38405166219</v>
      </c>
      <c r="D22" s="6" t="s">
        <v>197</v>
      </c>
      <c r="E22" s="6" t="s">
        <v>246</v>
      </c>
      <c r="F22" s="6" t="s">
        <v>240</v>
      </c>
      <c r="G22" s="6" t="s">
        <v>191</v>
      </c>
      <c r="H22" s="6" t="s">
        <v>192</v>
      </c>
      <c r="I22" s="6" t="s">
        <v>193</v>
      </c>
      <c r="J22" s="6" t="s">
        <v>247</v>
      </c>
      <c r="K22" s="6" t="s">
        <v>248</v>
      </c>
      <c r="L22" s="6" t="n">
        <v>65</v>
      </c>
      <c r="M22" s="6" t="s">
        <v>215</v>
      </c>
    </row>
    <row r="23" customFormat="false" ht="51.75" hidden="false" customHeight="true" outlineLevel="0" collapsed="false">
      <c r="A23" s="6" t="s">
        <v>99</v>
      </c>
      <c r="B23" s="6" t="n">
        <v>77</v>
      </c>
      <c r="C23" s="6" t="n">
        <v>38404605125</v>
      </c>
      <c r="D23" s="6" t="s">
        <v>188</v>
      </c>
      <c r="E23" s="6" t="s">
        <v>249</v>
      </c>
      <c r="F23" s="6" t="s">
        <v>250</v>
      </c>
      <c r="G23" s="6" t="s">
        <v>191</v>
      </c>
      <c r="H23" s="6" t="s">
        <v>192</v>
      </c>
      <c r="I23" s="6" t="s">
        <v>251</v>
      </c>
      <c r="J23" s="6" t="s">
        <v>68</v>
      </c>
      <c r="K23" s="6" t="s">
        <v>252</v>
      </c>
      <c r="L23" s="6" t="s">
        <v>68</v>
      </c>
      <c r="M23" s="6" t="s">
        <v>68</v>
      </c>
    </row>
    <row r="24" customFormat="false" ht="90" hidden="false" customHeight="true" outlineLevel="0" collapsed="false">
      <c r="A24" s="6" t="s">
        <v>99</v>
      </c>
      <c r="B24" s="6" t="n">
        <v>77</v>
      </c>
      <c r="C24" s="6" t="n">
        <v>38405066857</v>
      </c>
      <c r="D24" s="6" t="s">
        <v>197</v>
      </c>
      <c r="E24" s="6" t="s">
        <v>253</v>
      </c>
      <c r="F24" s="6" t="s">
        <v>250</v>
      </c>
      <c r="G24" s="6" t="s">
        <v>191</v>
      </c>
      <c r="H24" s="6" t="s">
        <v>192</v>
      </c>
      <c r="I24" s="6" t="s">
        <v>193</v>
      </c>
      <c r="J24" s="6" t="s">
        <v>194</v>
      </c>
      <c r="K24" s="6" t="s">
        <v>254</v>
      </c>
      <c r="L24" s="6" t="n">
        <v>100</v>
      </c>
      <c r="M24" s="6" t="s">
        <v>196</v>
      </c>
    </row>
    <row r="25" customFormat="false" ht="39" hidden="false" customHeight="true" outlineLevel="0" collapsed="false">
      <c r="A25" s="6" t="s">
        <v>99</v>
      </c>
      <c r="B25" s="6" t="n">
        <v>77</v>
      </c>
      <c r="C25" s="6" t="n">
        <v>38405174844</v>
      </c>
      <c r="D25" s="6" t="s">
        <v>197</v>
      </c>
      <c r="E25" s="6" t="s">
        <v>255</v>
      </c>
      <c r="F25" s="6" t="s">
        <v>250</v>
      </c>
      <c r="G25" s="6" t="s">
        <v>191</v>
      </c>
      <c r="H25" s="6" t="s">
        <v>192</v>
      </c>
      <c r="I25" s="6" t="s">
        <v>193</v>
      </c>
      <c r="J25" s="6" t="s">
        <v>194</v>
      </c>
      <c r="K25" s="6" t="s">
        <v>256</v>
      </c>
      <c r="L25" s="6" t="n">
        <v>100</v>
      </c>
      <c r="M25" s="6" t="s">
        <v>196</v>
      </c>
    </row>
    <row r="26" customFormat="false" ht="26.25" hidden="false" customHeight="true" outlineLevel="0" collapsed="false">
      <c r="A26" s="6" t="s">
        <v>99</v>
      </c>
      <c r="B26" s="6" t="n">
        <v>77</v>
      </c>
      <c r="C26" s="6" t="n">
        <v>38405218950</v>
      </c>
      <c r="D26" s="6" t="s">
        <v>197</v>
      </c>
      <c r="E26" s="6" t="s">
        <v>257</v>
      </c>
      <c r="F26" s="6" t="s">
        <v>250</v>
      </c>
      <c r="G26" s="6" t="s">
        <v>191</v>
      </c>
      <c r="H26" s="6" t="s">
        <v>192</v>
      </c>
      <c r="I26" s="6" t="s">
        <v>193</v>
      </c>
      <c r="J26" s="6" t="s">
        <v>258</v>
      </c>
      <c r="K26" s="6" t="s">
        <v>194</v>
      </c>
      <c r="L26" s="6" t="n">
        <v>85</v>
      </c>
      <c r="M26" s="6" t="s">
        <v>196</v>
      </c>
    </row>
    <row r="27" customFormat="false" ht="39" hidden="false" customHeight="true" outlineLevel="0" collapsed="false">
      <c r="A27" s="6" t="s">
        <v>108</v>
      </c>
      <c r="B27" s="6" t="n">
        <v>78</v>
      </c>
      <c r="C27" s="6" t="n">
        <v>38404607277</v>
      </c>
      <c r="D27" s="6" t="s">
        <v>188</v>
      </c>
      <c r="E27" s="6" t="s">
        <v>259</v>
      </c>
      <c r="F27" s="6" t="s">
        <v>260</v>
      </c>
      <c r="G27" s="6" t="s">
        <v>191</v>
      </c>
      <c r="H27" s="6" t="s">
        <v>192</v>
      </c>
      <c r="I27" s="6" t="s">
        <v>193</v>
      </c>
      <c r="J27" s="6" t="s">
        <v>261</v>
      </c>
      <c r="K27" s="6" t="s">
        <v>194</v>
      </c>
      <c r="L27" s="6" t="n">
        <v>85</v>
      </c>
      <c r="M27" s="6" t="s">
        <v>196</v>
      </c>
    </row>
    <row r="28" customFormat="false" ht="39" hidden="false" customHeight="true" outlineLevel="0" collapsed="false">
      <c r="A28" s="6" t="s">
        <v>108</v>
      </c>
      <c r="B28" s="6" t="n">
        <v>78</v>
      </c>
      <c r="C28" s="6" t="n">
        <v>38405075984</v>
      </c>
      <c r="D28" s="6" t="s">
        <v>197</v>
      </c>
      <c r="E28" s="6" t="s">
        <v>262</v>
      </c>
      <c r="F28" s="6" t="s">
        <v>260</v>
      </c>
      <c r="G28" s="6" t="s">
        <v>191</v>
      </c>
      <c r="H28" s="6" t="s">
        <v>192</v>
      </c>
      <c r="I28" s="6" t="s">
        <v>193</v>
      </c>
      <c r="J28" s="6" t="s">
        <v>263</v>
      </c>
      <c r="K28" s="6" t="s">
        <v>194</v>
      </c>
      <c r="L28" s="6" t="n">
        <v>85</v>
      </c>
      <c r="M28" s="6" t="s">
        <v>196</v>
      </c>
    </row>
    <row r="29" customFormat="false" ht="26.25" hidden="false" customHeight="true" outlineLevel="0" collapsed="false">
      <c r="A29" s="6" t="s">
        <v>108</v>
      </c>
      <c r="B29" s="6" t="n">
        <v>78</v>
      </c>
      <c r="C29" s="6" t="n">
        <v>38405183161</v>
      </c>
      <c r="D29" s="6" t="s">
        <v>197</v>
      </c>
      <c r="E29" s="6" t="s">
        <v>264</v>
      </c>
      <c r="F29" s="6" t="s">
        <v>260</v>
      </c>
      <c r="G29" s="6" t="s">
        <v>191</v>
      </c>
      <c r="H29" s="6" t="s">
        <v>192</v>
      </c>
      <c r="I29" s="6" t="s">
        <v>193</v>
      </c>
      <c r="J29" s="6" t="s">
        <v>265</v>
      </c>
      <c r="K29" s="6" t="s">
        <v>194</v>
      </c>
      <c r="L29" s="6" t="n">
        <v>85</v>
      </c>
      <c r="M29" s="6" t="s">
        <v>196</v>
      </c>
    </row>
    <row r="30" customFormat="false" ht="64.5" hidden="false" customHeight="true" outlineLevel="0" collapsed="false">
      <c r="A30" s="6" t="s">
        <v>116</v>
      </c>
      <c r="B30" s="6" t="n">
        <v>79</v>
      </c>
      <c r="C30" s="6" t="n">
        <v>38404612132</v>
      </c>
      <c r="D30" s="6" t="s">
        <v>188</v>
      </c>
      <c r="E30" s="6" t="s">
        <v>266</v>
      </c>
      <c r="F30" s="6" t="s">
        <v>267</v>
      </c>
      <c r="G30" s="6" t="s">
        <v>191</v>
      </c>
      <c r="H30" s="6" t="s">
        <v>192</v>
      </c>
      <c r="I30" s="6" t="s">
        <v>193</v>
      </c>
      <c r="J30" s="6" t="s">
        <v>268</v>
      </c>
      <c r="K30" s="6" t="s">
        <v>194</v>
      </c>
      <c r="L30" s="6" t="n">
        <v>65</v>
      </c>
      <c r="M30" s="6" t="s">
        <v>215</v>
      </c>
    </row>
    <row r="31" customFormat="false" ht="39" hidden="false" customHeight="true" outlineLevel="0" collapsed="false">
      <c r="A31" s="6" t="s">
        <v>116</v>
      </c>
      <c r="B31" s="6" t="n">
        <v>79</v>
      </c>
      <c r="C31" s="6" t="n">
        <v>38405084901</v>
      </c>
      <c r="D31" s="6" t="s">
        <v>197</v>
      </c>
      <c r="E31" s="6" t="s">
        <v>269</v>
      </c>
      <c r="F31" s="6" t="s">
        <v>267</v>
      </c>
      <c r="G31" s="6" t="s">
        <v>191</v>
      </c>
      <c r="H31" s="6" t="s">
        <v>192</v>
      </c>
      <c r="I31" s="6" t="s">
        <v>193</v>
      </c>
      <c r="J31" s="6" t="s">
        <v>270</v>
      </c>
      <c r="K31" s="6" t="s">
        <v>194</v>
      </c>
      <c r="L31" s="6" t="n">
        <v>70</v>
      </c>
      <c r="M31" s="6" t="s">
        <v>203</v>
      </c>
    </row>
    <row r="32" customFormat="false" ht="64.5" hidden="false" customHeight="true" outlineLevel="0" collapsed="false">
      <c r="A32" s="6" t="s">
        <v>116</v>
      </c>
      <c r="B32" s="6" t="n">
        <v>79</v>
      </c>
      <c r="C32" s="6" t="n">
        <v>38405192342</v>
      </c>
      <c r="D32" s="6" t="s">
        <v>197</v>
      </c>
      <c r="E32" s="6" t="s">
        <v>271</v>
      </c>
      <c r="F32" s="6" t="s">
        <v>267</v>
      </c>
      <c r="G32" s="6" t="s">
        <v>191</v>
      </c>
      <c r="H32" s="6" t="s">
        <v>192</v>
      </c>
      <c r="I32" s="6" t="s">
        <v>193</v>
      </c>
      <c r="J32" s="6" t="s">
        <v>272</v>
      </c>
      <c r="K32" s="6" t="s">
        <v>194</v>
      </c>
      <c r="L32" s="6" t="n">
        <v>65</v>
      </c>
      <c r="M32" s="6" t="s">
        <v>215</v>
      </c>
    </row>
    <row r="33" customFormat="false" ht="39" hidden="false" customHeight="true" outlineLevel="0" collapsed="false">
      <c r="A33" s="6" t="s">
        <v>125</v>
      </c>
      <c r="B33" s="6" t="n">
        <v>80</v>
      </c>
      <c r="C33" s="6" t="n">
        <v>38404613836</v>
      </c>
      <c r="D33" s="6" t="s">
        <v>188</v>
      </c>
      <c r="E33" s="6" t="s">
        <v>273</v>
      </c>
      <c r="F33" s="6" t="s">
        <v>274</v>
      </c>
      <c r="G33" s="6" t="s">
        <v>191</v>
      </c>
      <c r="H33" s="6" t="s">
        <v>192</v>
      </c>
      <c r="I33" s="6" t="s">
        <v>193</v>
      </c>
      <c r="J33" s="6" t="s">
        <v>275</v>
      </c>
      <c r="K33" s="6" t="s">
        <v>194</v>
      </c>
      <c r="L33" s="6" t="n">
        <v>70</v>
      </c>
      <c r="M33" s="6" t="s">
        <v>203</v>
      </c>
    </row>
    <row r="34" customFormat="false" ht="39" hidden="false" customHeight="true" outlineLevel="0" collapsed="false">
      <c r="A34" s="6" t="s">
        <v>125</v>
      </c>
      <c r="B34" s="6" t="n">
        <v>80</v>
      </c>
      <c r="C34" s="6" t="n">
        <v>38405093864</v>
      </c>
      <c r="D34" s="6" t="s">
        <v>197</v>
      </c>
      <c r="E34" s="6" t="s">
        <v>276</v>
      </c>
      <c r="F34" s="6" t="s">
        <v>274</v>
      </c>
      <c r="G34" s="6" t="s">
        <v>191</v>
      </c>
      <c r="H34" s="6" t="s">
        <v>192</v>
      </c>
      <c r="I34" s="6" t="s">
        <v>193</v>
      </c>
      <c r="J34" s="6" t="s">
        <v>277</v>
      </c>
      <c r="K34" s="6" t="s">
        <v>194</v>
      </c>
      <c r="L34" s="6" t="n">
        <v>70</v>
      </c>
      <c r="M34" s="6" t="s">
        <v>203</v>
      </c>
    </row>
    <row r="35" customFormat="false" ht="39" hidden="false" customHeight="true" outlineLevel="0" collapsed="false">
      <c r="A35" s="6" t="s">
        <v>125</v>
      </c>
      <c r="B35" s="6" t="n">
        <v>80</v>
      </c>
      <c r="C35" s="6" t="n">
        <v>38405200842</v>
      </c>
      <c r="D35" s="6" t="s">
        <v>197</v>
      </c>
      <c r="E35" s="6" t="s">
        <v>278</v>
      </c>
      <c r="F35" s="6" t="s">
        <v>274</v>
      </c>
      <c r="G35" s="6" t="s">
        <v>191</v>
      </c>
      <c r="H35" s="6" t="s">
        <v>192</v>
      </c>
      <c r="I35" s="6" t="s">
        <v>193</v>
      </c>
      <c r="J35" s="6" t="s">
        <v>279</v>
      </c>
      <c r="K35" s="6" t="s">
        <v>194</v>
      </c>
      <c r="L35" s="6" t="n">
        <v>70</v>
      </c>
      <c r="M35" s="6" t="s">
        <v>203</v>
      </c>
    </row>
    <row r="36" customFormat="false" ht="90" hidden="false" customHeight="true" outlineLevel="0" collapsed="false">
      <c r="A36" s="6" t="s">
        <v>132</v>
      </c>
      <c r="B36" s="6" t="n">
        <v>81</v>
      </c>
      <c r="C36" s="6" t="n">
        <v>38404619147</v>
      </c>
      <c r="D36" s="6" t="s">
        <v>188</v>
      </c>
      <c r="E36" s="6" t="s">
        <v>280</v>
      </c>
      <c r="F36" s="6" t="s">
        <v>281</v>
      </c>
      <c r="G36" s="6" t="s">
        <v>191</v>
      </c>
      <c r="H36" s="6" t="s">
        <v>192</v>
      </c>
      <c r="I36" s="6" t="s">
        <v>193</v>
      </c>
      <c r="J36" s="6" t="s">
        <v>282</v>
      </c>
      <c r="K36" s="6" t="s">
        <v>194</v>
      </c>
      <c r="L36" s="6" t="n">
        <v>50</v>
      </c>
      <c r="M36" s="6" t="s">
        <v>215</v>
      </c>
    </row>
    <row r="37" customFormat="false" ht="26.25" hidden="false" customHeight="true" outlineLevel="0" collapsed="false">
      <c r="A37" s="6" t="s">
        <v>132</v>
      </c>
      <c r="B37" s="6" t="n">
        <v>81</v>
      </c>
      <c r="C37" s="6" t="n">
        <v>38405103514</v>
      </c>
      <c r="D37" s="6" t="s">
        <v>197</v>
      </c>
      <c r="E37" s="6" t="s">
        <v>283</v>
      </c>
      <c r="F37" s="6" t="s">
        <v>281</v>
      </c>
      <c r="G37" s="6" t="s">
        <v>191</v>
      </c>
      <c r="H37" s="6" t="s">
        <v>192</v>
      </c>
      <c r="I37" s="6" t="s">
        <v>193</v>
      </c>
      <c r="J37" s="6" t="s">
        <v>284</v>
      </c>
      <c r="K37" s="6" t="s">
        <v>285</v>
      </c>
      <c r="L37" s="6" t="n">
        <v>95</v>
      </c>
      <c r="M37" s="6" t="s">
        <v>196</v>
      </c>
    </row>
    <row r="38" customFormat="false" ht="90" hidden="false" customHeight="true" outlineLevel="0" collapsed="false">
      <c r="A38" s="6" t="s">
        <v>132</v>
      </c>
      <c r="B38" s="6" t="n">
        <v>81</v>
      </c>
      <c r="C38" s="6" t="n">
        <v>38405210047</v>
      </c>
      <c r="D38" s="6" t="s">
        <v>197</v>
      </c>
      <c r="E38" s="6" t="s">
        <v>286</v>
      </c>
      <c r="F38" s="6" t="s">
        <v>281</v>
      </c>
      <c r="G38" s="6" t="s">
        <v>191</v>
      </c>
      <c r="H38" s="6" t="s">
        <v>192</v>
      </c>
      <c r="I38" s="6" t="s">
        <v>193</v>
      </c>
      <c r="J38" s="6" t="s">
        <v>194</v>
      </c>
      <c r="K38" s="6" t="s">
        <v>287</v>
      </c>
      <c r="L38" s="6" t="n">
        <v>100</v>
      </c>
      <c r="M38" s="6" t="s">
        <v>196</v>
      </c>
    </row>
    <row r="40" customFormat="false" ht="15" hidden="false" customHeight="true" outlineLevel="0" collapsed="false">
      <c r="A40" s="15" t="s">
        <v>288</v>
      </c>
    </row>
  </sheetData>
  <autoFilter ref="A1:M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0"/>
    <col collapsed="false" customWidth="true" hidden="false" outlineLevel="0" max="4" min="4" style="1" width="50"/>
    <col collapsed="false" customWidth="true" hidden="false" outlineLevel="0" max="5" min="5" style="1" width="60"/>
    <col collapsed="false" customWidth="true" hidden="false" outlineLevel="0" max="7" min="6" style="1" width="14"/>
    <col collapsed="false" customWidth="true" hidden="false" outlineLevel="0" max="8" min="8" style="1" width="16"/>
  </cols>
  <sheetData>
    <row r="1" customFormat="false" ht="51.75" hidden="false" customHeight="true" outlineLevel="0" collapsed="false">
      <c r="A1" s="5" t="s">
        <v>10</v>
      </c>
      <c r="B1" s="5" t="s">
        <v>289</v>
      </c>
      <c r="C1" s="5" t="s">
        <v>290</v>
      </c>
      <c r="D1" s="5" t="s">
        <v>291</v>
      </c>
      <c r="E1" s="5" t="s">
        <v>292</v>
      </c>
      <c r="F1" s="5" t="s">
        <v>293</v>
      </c>
      <c r="G1" s="5" t="s">
        <v>294</v>
      </c>
      <c r="H1" s="5" t="s">
        <v>295</v>
      </c>
    </row>
    <row r="2" customFormat="false" ht="26.25" hidden="false" customHeight="true" outlineLevel="0" collapsed="false">
      <c r="A2" s="6" t="s">
        <v>25</v>
      </c>
      <c r="B2" s="6" t="n">
        <v>7</v>
      </c>
      <c r="C2" s="6" t="n">
        <v>0</v>
      </c>
      <c r="D2" s="6" t="s">
        <v>194</v>
      </c>
      <c r="E2" s="6" t="s">
        <v>194</v>
      </c>
      <c r="F2" s="6" t="s">
        <v>296</v>
      </c>
      <c r="G2" s="6" t="s">
        <v>297</v>
      </c>
      <c r="H2" s="6" t="s">
        <v>297</v>
      </c>
    </row>
    <row r="3" customFormat="false" ht="51.75" hidden="false" customHeight="true" outlineLevel="0" collapsed="false">
      <c r="A3" s="6" t="s">
        <v>38</v>
      </c>
      <c r="B3" s="6" t="n">
        <v>7</v>
      </c>
      <c r="C3" s="6" t="n">
        <v>0</v>
      </c>
      <c r="D3" s="6" t="s">
        <v>194</v>
      </c>
      <c r="E3" s="6" t="s">
        <v>298</v>
      </c>
      <c r="F3" s="6" t="s">
        <v>296</v>
      </c>
      <c r="G3" s="6" t="s">
        <v>297</v>
      </c>
      <c r="H3" s="6" t="s">
        <v>297</v>
      </c>
    </row>
    <row r="4" customFormat="false" ht="51.75" hidden="false" customHeight="true" outlineLevel="0" collapsed="false">
      <c r="A4" s="6" t="s">
        <v>51</v>
      </c>
      <c r="B4" s="6" t="n">
        <v>7</v>
      </c>
      <c r="C4" s="6" t="n">
        <v>0</v>
      </c>
      <c r="D4" s="6" t="s">
        <v>194</v>
      </c>
      <c r="E4" s="6" t="s">
        <v>299</v>
      </c>
      <c r="F4" s="6" t="s">
        <v>296</v>
      </c>
      <c r="G4" s="6" t="s">
        <v>297</v>
      </c>
      <c r="H4" s="6" t="s">
        <v>297</v>
      </c>
    </row>
    <row r="5" customFormat="false" ht="26.25" hidden="false" customHeight="true" outlineLevel="0" collapsed="false">
      <c r="A5" s="6" t="s">
        <v>61</v>
      </c>
      <c r="B5" s="6" t="n">
        <v>7</v>
      </c>
      <c r="C5" s="6" t="n">
        <v>0</v>
      </c>
      <c r="D5" s="6" t="s">
        <v>194</v>
      </c>
      <c r="E5" s="6" t="s">
        <v>300</v>
      </c>
      <c r="F5" s="6" t="s">
        <v>296</v>
      </c>
      <c r="G5" s="6" t="s">
        <v>297</v>
      </c>
      <c r="H5" s="6" t="s">
        <v>297</v>
      </c>
    </row>
    <row r="6" customFormat="false" ht="26.25" hidden="false" customHeight="true" outlineLevel="0" collapsed="false">
      <c r="A6" s="6" t="s">
        <v>71</v>
      </c>
      <c r="B6" s="6" t="n">
        <v>6</v>
      </c>
      <c r="C6" s="6" t="n">
        <v>1</v>
      </c>
      <c r="D6" s="6" t="s">
        <v>301</v>
      </c>
      <c r="E6" s="6" t="s">
        <v>194</v>
      </c>
      <c r="F6" s="6" t="s">
        <v>296</v>
      </c>
      <c r="G6" s="6" t="s">
        <v>297</v>
      </c>
      <c r="H6" s="6" t="s">
        <v>297</v>
      </c>
    </row>
    <row r="7" customFormat="false" ht="26.25" hidden="false" customHeight="true" outlineLevel="0" collapsed="false">
      <c r="A7" s="6" t="s">
        <v>80</v>
      </c>
      <c r="B7" s="6" t="n">
        <v>5</v>
      </c>
      <c r="C7" s="6" t="n">
        <v>2</v>
      </c>
      <c r="D7" s="6" t="s">
        <v>302</v>
      </c>
      <c r="E7" s="6" t="s">
        <v>194</v>
      </c>
      <c r="F7" s="6" t="s">
        <v>296</v>
      </c>
      <c r="G7" s="6" t="s">
        <v>297</v>
      </c>
      <c r="H7" s="6" t="s">
        <v>297</v>
      </c>
    </row>
    <row r="8" customFormat="false" ht="77.25" hidden="false" customHeight="true" outlineLevel="0" collapsed="false">
      <c r="A8" s="6" t="s">
        <v>89</v>
      </c>
      <c r="B8" s="6" t="n">
        <v>11</v>
      </c>
      <c r="C8" s="6" t="n">
        <v>11</v>
      </c>
      <c r="D8" s="6" t="s">
        <v>303</v>
      </c>
      <c r="E8" s="6" t="s">
        <v>304</v>
      </c>
      <c r="F8" s="6" t="s">
        <v>296</v>
      </c>
      <c r="G8" s="6" t="s">
        <v>297</v>
      </c>
      <c r="H8" s="6" t="s">
        <v>297</v>
      </c>
    </row>
    <row r="9" customFormat="false" ht="26.25" hidden="false" customHeight="true" outlineLevel="0" collapsed="false">
      <c r="A9" s="6" t="s">
        <v>99</v>
      </c>
      <c r="B9" s="6" t="n">
        <v>7</v>
      </c>
      <c r="C9" s="6" t="n">
        <v>0</v>
      </c>
      <c r="D9" s="6" t="s">
        <v>194</v>
      </c>
      <c r="E9" s="6" t="s">
        <v>194</v>
      </c>
      <c r="F9" s="6" t="s">
        <v>296</v>
      </c>
      <c r="G9" s="6" t="s">
        <v>297</v>
      </c>
      <c r="H9" s="6" t="s">
        <v>297</v>
      </c>
    </row>
    <row r="10" customFormat="false" ht="26.25" hidden="false" customHeight="true" outlineLevel="0" collapsed="false">
      <c r="A10" s="6" t="s">
        <v>108</v>
      </c>
      <c r="B10" s="6" t="n">
        <v>7</v>
      </c>
      <c r="C10" s="6" t="n">
        <v>0</v>
      </c>
      <c r="D10" s="6" t="s">
        <v>194</v>
      </c>
      <c r="E10" s="6" t="s">
        <v>194</v>
      </c>
      <c r="F10" s="6" t="s">
        <v>296</v>
      </c>
      <c r="G10" s="6" t="s">
        <v>297</v>
      </c>
      <c r="H10" s="6" t="s">
        <v>297</v>
      </c>
    </row>
    <row r="11" customFormat="false" ht="26.25" hidden="false" customHeight="true" outlineLevel="0" collapsed="false">
      <c r="A11" s="6" t="s">
        <v>116</v>
      </c>
      <c r="B11" s="6" t="n">
        <v>7</v>
      </c>
      <c r="C11" s="6" t="n">
        <v>1</v>
      </c>
      <c r="D11" s="6" t="s">
        <v>305</v>
      </c>
      <c r="E11" s="6" t="s">
        <v>194</v>
      </c>
      <c r="F11" s="6" t="s">
        <v>296</v>
      </c>
      <c r="G11" s="6" t="s">
        <v>297</v>
      </c>
      <c r="H11" s="6" t="s">
        <v>297</v>
      </c>
    </row>
    <row r="12" customFormat="false" ht="26.25" hidden="false" customHeight="true" outlineLevel="0" collapsed="false">
      <c r="A12" s="6" t="s">
        <v>125</v>
      </c>
      <c r="B12" s="6" t="n">
        <v>7</v>
      </c>
      <c r="C12" s="6" t="n">
        <v>1</v>
      </c>
      <c r="D12" s="6" t="s">
        <v>305</v>
      </c>
      <c r="E12" s="6" t="s">
        <v>194</v>
      </c>
      <c r="F12" s="6" t="s">
        <v>296</v>
      </c>
      <c r="G12" s="6" t="s">
        <v>297</v>
      </c>
      <c r="H12" s="6" t="s">
        <v>297</v>
      </c>
    </row>
    <row r="13" customFormat="false" ht="26.25" hidden="false" customHeight="true" outlineLevel="0" collapsed="false">
      <c r="A13" s="6" t="s">
        <v>132</v>
      </c>
      <c r="B13" s="6" t="n">
        <v>11</v>
      </c>
      <c r="C13" s="6" t="n">
        <v>0</v>
      </c>
      <c r="D13" s="6" t="s">
        <v>194</v>
      </c>
      <c r="E13" s="6" t="s">
        <v>306</v>
      </c>
      <c r="F13" s="6" t="s">
        <v>296</v>
      </c>
      <c r="G13" s="6" t="s">
        <v>297</v>
      </c>
      <c r="H13" s="6" t="s">
        <v>297</v>
      </c>
    </row>
    <row r="15" customFormat="false" ht="15" hidden="false" customHeight="true" outlineLevel="0" collapsed="false">
      <c r="A15" s="15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9"/>
    <col collapsed="false" customWidth="true" hidden="false" outlineLevel="0" max="6" min="6" style="1" width="55"/>
    <col collapsed="false" customWidth="true" hidden="false" outlineLevel="0" max="7" min="7" style="1" width="30"/>
    <col collapsed="false" customWidth="true" hidden="false" outlineLevel="0" max="8" min="8" style="1" width="50"/>
  </cols>
  <sheetData>
    <row r="1" customFormat="false" ht="39" hidden="false" customHeight="true" outlineLevel="0" collapsed="false">
      <c r="A1" s="5" t="s">
        <v>10</v>
      </c>
      <c r="B1" s="5" t="s">
        <v>176</v>
      </c>
      <c r="C1" s="5" t="s">
        <v>308</v>
      </c>
      <c r="D1" s="5" t="s">
        <v>177</v>
      </c>
      <c r="E1" s="5" t="s">
        <v>309</v>
      </c>
      <c r="F1" s="5" t="s">
        <v>310</v>
      </c>
      <c r="G1" s="5" t="s">
        <v>311</v>
      </c>
      <c r="H1" s="5" t="s">
        <v>312</v>
      </c>
    </row>
    <row r="2" customFormat="false" ht="39" hidden="false" customHeight="true" outlineLevel="0" collapsed="false">
      <c r="A2" s="6" t="s">
        <v>25</v>
      </c>
      <c r="B2" s="6" t="s">
        <v>313</v>
      </c>
      <c r="C2" s="6" t="s">
        <v>314</v>
      </c>
      <c r="D2" s="6" t="s">
        <v>315</v>
      </c>
      <c r="E2" s="6" t="n">
        <v>1</v>
      </c>
      <c r="F2" s="6" t="s">
        <v>316</v>
      </c>
      <c r="G2" s="6" t="s">
        <v>317</v>
      </c>
      <c r="H2" s="6" t="s">
        <v>318</v>
      </c>
    </row>
    <row r="3" customFormat="false" ht="39" hidden="false" customHeight="true" outlineLevel="0" collapsed="false">
      <c r="A3" s="6" t="s">
        <v>25</v>
      </c>
      <c r="B3" s="6" t="s">
        <v>319</v>
      </c>
      <c r="C3" s="6" t="s">
        <v>320</v>
      </c>
      <c r="D3" s="6" t="s">
        <v>321</v>
      </c>
      <c r="E3" s="6" t="n">
        <v>1</v>
      </c>
      <c r="F3" s="6" t="s">
        <v>322</v>
      </c>
      <c r="G3" s="6" t="s">
        <v>68</v>
      </c>
      <c r="H3" s="6" t="s">
        <v>323</v>
      </c>
    </row>
    <row r="4" customFormat="false" ht="26.25" hidden="false" customHeight="true" outlineLevel="0" collapsed="false">
      <c r="A4" s="6" t="s">
        <v>38</v>
      </c>
      <c r="B4" s="6" t="s">
        <v>324</v>
      </c>
      <c r="C4" s="6" t="s">
        <v>325</v>
      </c>
      <c r="D4" s="6" t="s">
        <v>326</v>
      </c>
      <c r="E4" s="6" t="n">
        <v>1</v>
      </c>
      <c r="F4" s="6" t="s">
        <v>327</v>
      </c>
      <c r="G4" s="6" t="s">
        <v>328</v>
      </c>
      <c r="H4" s="6"/>
    </row>
    <row r="5" customFormat="false" ht="26.25" hidden="false" customHeight="true" outlineLevel="0" collapsed="false">
      <c r="A5" s="6" t="s">
        <v>51</v>
      </c>
      <c r="B5" s="6" t="s">
        <v>329</v>
      </c>
      <c r="C5" s="6" t="s">
        <v>330</v>
      </c>
      <c r="D5" s="6" t="s">
        <v>331</v>
      </c>
      <c r="E5" s="6" t="n">
        <v>1</v>
      </c>
      <c r="F5" s="6" t="s">
        <v>332</v>
      </c>
      <c r="G5" s="6" t="s">
        <v>333</v>
      </c>
      <c r="H5" s="6"/>
    </row>
    <row r="6" customFormat="false" ht="15" hidden="false" customHeight="true" outlineLevel="0" collapsed="false">
      <c r="A6" s="6" t="s">
        <v>61</v>
      </c>
      <c r="B6" s="6" t="s">
        <v>334</v>
      </c>
      <c r="C6" s="6" t="s">
        <v>335</v>
      </c>
      <c r="D6" s="6" t="s">
        <v>336</v>
      </c>
      <c r="E6" s="6" t="n">
        <v>1</v>
      </c>
      <c r="F6" s="6" t="s">
        <v>337</v>
      </c>
      <c r="G6" s="6" t="s">
        <v>338</v>
      </c>
      <c r="H6" s="6" t="s">
        <v>339</v>
      </c>
    </row>
    <row r="7" customFormat="false" ht="15" hidden="false" customHeight="true" outlineLevel="0" collapsed="false">
      <c r="A7" s="6" t="s">
        <v>71</v>
      </c>
      <c r="B7" s="6" t="s">
        <v>340</v>
      </c>
      <c r="C7" s="6" t="s">
        <v>341</v>
      </c>
      <c r="D7" s="6" t="s">
        <v>342</v>
      </c>
      <c r="E7" s="6" t="n">
        <v>1</v>
      </c>
      <c r="F7" s="6" t="s">
        <v>343</v>
      </c>
      <c r="G7" s="6" t="s">
        <v>301</v>
      </c>
      <c r="H7" s="6"/>
    </row>
    <row r="8" customFormat="false" ht="26.25" hidden="false" customHeight="true" outlineLevel="0" collapsed="false">
      <c r="A8" s="6" t="s">
        <v>80</v>
      </c>
      <c r="B8" s="6" t="s">
        <v>344</v>
      </c>
      <c r="C8" s="6" t="s">
        <v>345</v>
      </c>
      <c r="D8" s="6" t="s">
        <v>346</v>
      </c>
      <c r="E8" s="6" t="n">
        <v>1</v>
      </c>
      <c r="F8" s="6" t="s">
        <v>347</v>
      </c>
      <c r="G8" s="6" t="s">
        <v>302</v>
      </c>
      <c r="H8" s="6" t="s">
        <v>348</v>
      </c>
    </row>
    <row r="9" customFormat="false" ht="51.75" hidden="false" customHeight="true" outlineLevel="0" collapsed="false">
      <c r="A9" s="6" t="s">
        <v>89</v>
      </c>
      <c r="B9" s="6" t="s">
        <v>349</v>
      </c>
      <c r="C9" s="6" t="s">
        <v>350</v>
      </c>
      <c r="D9" s="6" t="s">
        <v>351</v>
      </c>
      <c r="E9" s="6" t="n">
        <v>1</v>
      </c>
      <c r="F9" s="6" t="s">
        <v>352</v>
      </c>
      <c r="G9" s="6" t="s">
        <v>353</v>
      </c>
      <c r="H9" s="6" t="s">
        <v>354</v>
      </c>
    </row>
    <row r="10" customFormat="false" ht="15" hidden="false" customHeight="true" outlineLevel="0" collapsed="false">
      <c r="A10" s="6" t="s">
        <v>99</v>
      </c>
      <c r="B10" s="6" t="s">
        <v>355</v>
      </c>
      <c r="C10" s="6" t="s">
        <v>356</v>
      </c>
      <c r="D10" s="6" t="s">
        <v>357</v>
      </c>
      <c r="E10" s="6" t="n">
        <v>1</v>
      </c>
      <c r="F10" s="6" t="s">
        <v>358</v>
      </c>
      <c r="G10" s="6" t="s">
        <v>359</v>
      </c>
      <c r="H10" s="6"/>
    </row>
    <row r="11" customFormat="false" ht="15" hidden="false" customHeight="true" outlineLevel="0" collapsed="false">
      <c r="A11" s="6" t="s">
        <v>108</v>
      </c>
      <c r="B11" s="6" t="s">
        <v>360</v>
      </c>
      <c r="C11" s="6" t="s">
        <v>361</v>
      </c>
      <c r="D11" s="6" t="s">
        <v>362</v>
      </c>
      <c r="E11" s="6" t="n">
        <v>3</v>
      </c>
      <c r="F11" s="6" t="s">
        <v>363</v>
      </c>
      <c r="G11" s="6" t="s">
        <v>359</v>
      </c>
      <c r="H11" s="6" t="s">
        <v>364</v>
      </c>
    </row>
    <row r="12" customFormat="false" ht="26.25" hidden="false" customHeight="true" outlineLevel="0" collapsed="false">
      <c r="A12" s="6" t="s">
        <v>116</v>
      </c>
      <c r="B12" s="6" t="s">
        <v>365</v>
      </c>
      <c r="C12" s="6" t="s">
        <v>366</v>
      </c>
      <c r="D12" s="6" t="s">
        <v>367</v>
      </c>
      <c r="E12" s="6" t="n">
        <v>2</v>
      </c>
      <c r="F12" s="6" t="s">
        <v>368</v>
      </c>
      <c r="G12" s="6" t="s">
        <v>305</v>
      </c>
      <c r="H12" s="6" t="s">
        <v>369</v>
      </c>
    </row>
    <row r="13" customFormat="false" ht="26.25" hidden="false" customHeight="true" outlineLevel="0" collapsed="false">
      <c r="A13" s="6" t="s">
        <v>125</v>
      </c>
      <c r="B13" s="6" t="s">
        <v>370</v>
      </c>
      <c r="C13" s="6" t="s">
        <v>371</v>
      </c>
      <c r="D13" s="6" t="s">
        <v>372</v>
      </c>
      <c r="E13" s="6" t="n">
        <v>2</v>
      </c>
      <c r="F13" s="6" t="s">
        <v>373</v>
      </c>
      <c r="G13" s="6" t="s">
        <v>374</v>
      </c>
      <c r="H13" s="6" t="s">
        <v>375</v>
      </c>
    </row>
    <row r="14" customFormat="false" ht="15" hidden="false" customHeight="true" outlineLevel="0" collapsed="false">
      <c r="A14" s="6" t="s">
        <v>132</v>
      </c>
      <c r="B14" s="6" t="s">
        <v>376</v>
      </c>
      <c r="C14" s="6" t="s">
        <v>377</v>
      </c>
      <c r="D14" s="6" t="s">
        <v>378</v>
      </c>
      <c r="E14" s="6" t="n">
        <v>1</v>
      </c>
      <c r="F14" s="6" t="s">
        <v>379</v>
      </c>
      <c r="G14" s="6" t="s">
        <v>338</v>
      </c>
      <c r="H14" s="6"/>
    </row>
    <row r="16" customFormat="false" ht="15" hidden="false" customHeight="true" outlineLevel="0" collapsed="false">
      <c r="A16" s="15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60"/>
    <col collapsed="false" customWidth="true" hidden="false" outlineLevel="0" max="3" min="3" style="1" width="70"/>
    <col collapsed="false" customWidth="true" hidden="false" outlineLevel="0" max="4" min="4" style="1" width="25"/>
  </cols>
  <sheetData>
    <row r="1" customFormat="false" ht="15" hidden="false" customHeight="true" outlineLevel="0" collapsed="false">
      <c r="A1" s="5" t="s">
        <v>381</v>
      </c>
      <c r="B1" s="5" t="s">
        <v>382</v>
      </c>
      <c r="C1" s="5" t="s">
        <v>383</v>
      </c>
      <c r="D1" s="5" t="s">
        <v>384</v>
      </c>
    </row>
    <row r="2" customFormat="false" ht="26.25" hidden="false" customHeight="true" outlineLevel="0" collapsed="false">
      <c r="A2" s="6" t="n">
        <v>1</v>
      </c>
      <c r="B2" s="6" t="s">
        <v>385</v>
      </c>
      <c r="C2" s="6" t="s">
        <v>386</v>
      </c>
      <c r="D2" s="16" t="s">
        <v>387</v>
      </c>
    </row>
    <row r="3" customFormat="false" ht="26.25" hidden="false" customHeight="true" outlineLevel="0" collapsed="false">
      <c r="A3" s="6" t="n">
        <v>2</v>
      </c>
      <c r="B3" s="6" t="s">
        <v>388</v>
      </c>
      <c r="C3" s="6" t="s">
        <v>389</v>
      </c>
      <c r="D3" s="16" t="s">
        <v>387</v>
      </c>
    </row>
    <row r="4" customFormat="false" ht="26.25" hidden="false" customHeight="true" outlineLevel="0" collapsed="false">
      <c r="A4" s="6" t="n">
        <v>3</v>
      </c>
      <c r="B4" s="6" t="s">
        <v>390</v>
      </c>
      <c r="C4" s="6" t="s">
        <v>391</v>
      </c>
      <c r="D4" s="16" t="s">
        <v>387</v>
      </c>
    </row>
    <row r="5" customFormat="false" ht="26.25" hidden="false" customHeight="true" outlineLevel="0" collapsed="false">
      <c r="A5" s="6" t="n">
        <v>4</v>
      </c>
      <c r="B5" s="6" t="s">
        <v>392</v>
      </c>
      <c r="C5" s="6" t="s">
        <v>393</v>
      </c>
      <c r="D5" s="16" t="s">
        <v>387</v>
      </c>
    </row>
    <row r="6" customFormat="false" ht="15" hidden="false" customHeight="true" outlineLevel="0" collapsed="false">
      <c r="A6" s="6" t="n">
        <v>5</v>
      </c>
      <c r="B6" s="6" t="s">
        <v>394</v>
      </c>
      <c r="C6" s="6" t="s">
        <v>395</v>
      </c>
      <c r="D6" s="16" t="s">
        <v>387</v>
      </c>
    </row>
    <row r="7" customFormat="false" ht="26.25" hidden="false" customHeight="true" outlineLevel="0" collapsed="false">
      <c r="A7" s="6" t="n">
        <v>6</v>
      </c>
      <c r="B7" s="6" t="s">
        <v>396</v>
      </c>
      <c r="C7" s="6" t="s">
        <v>397</v>
      </c>
      <c r="D7" s="16" t="s">
        <v>387</v>
      </c>
    </row>
    <row r="8" customFormat="false" ht="15" hidden="false" customHeight="true" outlineLevel="0" collapsed="false">
      <c r="A8" s="6" t="n">
        <v>7</v>
      </c>
      <c r="B8" s="6" t="s">
        <v>398</v>
      </c>
      <c r="C8" s="6" t="s">
        <v>399</v>
      </c>
      <c r="D8" s="16" t="s">
        <v>387</v>
      </c>
    </row>
    <row r="9" customFormat="false" ht="26.25" hidden="false" customHeight="true" outlineLevel="0" collapsed="false">
      <c r="A9" s="6" t="n">
        <v>8</v>
      </c>
      <c r="B9" s="6" t="s">
        <v>400</v>
      </c>
      <c r="C9" s="6" t="s">
        <v>401</v>
      </c>
      <c r="D9" s="16" t="s">
        <v>387</v>
      </c>
    </row>
    <row r="10" customFormat="false" ht="26.25" hidden="false" customHeight="true" outlineLevel="0" collapsed="false">
      <c r="A10" s="6" t="n">
        <v>9</v>
      </c>
      <c r="B10" s="6" t="s">
        <v>402</v>
      </c>
      <c r="C10" s="6" t="s">
        <v>403</v>
      </c>
      <c r="D10" s="16" t="s">
        <v>387</v>
      </c>
    </row>
    <row r="11" customFormat="false" ht="15" hidden="false" customHeight="true" outlineLevel="0" collapsed="false">
      <c r="A11" s="6" t="n">
        <v>10</v>
      </c>
      <c r="B11" s="6" t="s">
        <v>404</v>
      </c>
      <c r="C11" s="6" t="s">
        <v>68</v>
      </c>
      <c r="D11" s="16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1" width="30"/>
  </cols>
  <sheetData>
    <row r="1" customFormat="false" ht="15" hidden="false" customHeight="true" outlineLevel="0" collapsed="false">
      <c r="A1" s="5" t="s">
        <v>10</v>
      </c>
      <c r="B1" s="5" t="s">
        <v>405</v>
      </c>
      <c r="C1" s="5" t="s">
        <v>406</v>
      </c>
      <c r="D1" s="5" t="s">
        <v>407</v>
      </c>
      <c r="E1" s="5" t="s">
        <v>408</v>
      </c>
    </row>
    <row r="2" customFormat="false" ht="15" hidden="false" customHeight="true" outlineLevel="0" collapsed="false">
      <c r="A2" s="6" t="s">
        <v>25</v>
      </c>
      <c r="B2" s="6" t="s">
        <v>409</v>
      </c>
      <c r="C2" s="6" t="s">
        <v>410</v>
      </c>
      <c r="D2" s="6" t="s">
        <v>410</v>
      </c>
      <c r="E2" s="6" t="s">
        <v>410</v>
      </c>
    </row>
    <row r="3" customFormat="false" ht="15" hidden="false" customHeight="true" outlineLevel="0" collapsed="false">
      <c r="A3" s="6" t="s">
        <v>38</v>
      </c>
      <c r="B3" s="6" t="s">
        <v>411</v>
      </c>
      <c r="C3" s="6" t="s">
        <v>412</v>
      </c>
      <c r="D3" s="6" t="s">
        <v>413</v>
      </c>
      <c r="E3" s="6" t="s">
        <v>413</v>
      </c>
    </row>
    <row r="4" customFormat="false" ht="15" hidden="false" customHeight="true" outlineLevel="0" collapsed="false">
      <c r="A4" s="6" t="s">
        <v>51</v>
      </c>
      <c r="B4" s="6" t="s">
        <v>414</v>
      </c>
      <c r="C4" s="6" t="s">
        <v>412</v>
      </c>
      <c r="D4" s="6" t="s">
        <v>413</v>
      </c>
      <c r="E4" s="6" t="s">
        <v>413</v>
      </c>
    </row>
    <row r="5" customFormat="false" ht="15" hidden="false" customHeight="true" outlineLevel="0" collapsed="false">
      <c r="A5" s="6" t="s">
        <v>61</v>
      </c>
      <c r="B5" s="6" t="s">
        <v>415</v>
      </c>
      <c r="C5" s="6" t="s">
        <v>412</v>
      </c>
      <c r="D5" s="6" t="s">
        <v>413</v>
      </c>
      <c r="E5" s="6" t="s">
        <v>416</v>
      </c>
    </row>
    <row r="6" customFormat="false" ht="15" hidden="false" customHeight="true" outlineLevel="0" collapsed="false">
      <c r="A6" s="6" t="s">
        <v>71</v>
      </c>
      <c r="B6" s="6" t="s">
        <v>417</v>
      </c>
      <c r="C6" s="6" t="s">
        <v>418</v>
      </c>
      <c r="D6" s="6" t="s">
        <v>419</v>
      </c>
      <c r="E6" s="6" t="s">
        <v>420</v>
      </c>
    </row>
    <row r="7" customFormat="false" ht="15" hidden="false" customHeight="true" outlineLevel="0" collapsed="false">
      <c r="A7" s="6" t="s">
        <v>80</v>
      </c>
      <c r="B7" s="6" t="s">
        <v>421</v>
      </c>
      <c r="C7" s="6" t="s">
        <v>418</v>
      </c>
      <c r="D7" s="6" t="s">
        <v>419</v>
      </c>
      <c r="E7" s="6" t="s">
        <v>420</v>
      </c>
    </row>
    <row r="8" customFormat="false" ht="15" hidden="false" customHeight="true" outlineLevel="0" collapsed="false">
      <c r="A8" s="6" t="s">
        <v>89</v>
      </c>
      <c r="B8" s="6" t="s">
        <v>422</v>
      </c>
      <c r="C8" s="6" t="s">
        <v>418</v>
      </c>
      <c r="D8" s="6" t="s">
        <v>418</v>
      </c>
      <c r="E8" s="6" t="s">
        <v>413</v>
      </c>
    </row>
    <row r="9" customFormat="false" ht="26.25" hidden="false" customHeight="true" outlineLevel="0" collapsed="false">
      <c r="A9" s="6" t="s">
        <v>99</v>
      </c>
      <c r="B9" s="6" t="s">
        <v>423</v>
      </c>
      <c r="C9" s="6" t="s">
        <v>412</v>
      </c>
      <c r="D9" s="6" t="s">
        <v>419</v>
      </c>
      <c r="E9" s="6" t="s">
        <v>420</v>
      </c>
    </row>
    <row r="10" customFormat="false" ht="15" hidden="false" customHeight="true" outlineLevel="0" collapsed="false">
      <c r="A10" s="6" t="s">
        <v>108</v>
      </c>
      <c r="B10" s="6" t="s">
        <v>424</v>
      </c>
      <c r="C10" s="6" t="s">
        <v>412</v>
      </c>
      <c r="D10" s="6" t="s">
        <v>412</v>
      </c>
      <c r="E10" s="6" t="s">
        <v>420</v>
      </c>
    </row>
    <row r="11" customFormat="false" ht="26.25" hidden="false" customHeight="true" outlineLevel="0" collapsed="false">
      <c r="A11" s="6" t="s">
        <v>116</v>
      </c>
      <c r="B11" s="6" t="s">
        <v>117</v>
      </c>
      <c r="C11" s="6" t="s">
        <v>418</v>
      </c>
      <c r="D11" s="6" t="s">
        <v>412</v>
      </c>
      <c r="E11" s="6" t="s">
        <v>413</v>
      </c>
    </row>
    <row r="12" customFormat="false" ht="26.25" hidden="false" customHeight="true" outlineLevel="0" collapsed="false">
      <c r="A12" s="6" t="s">
        <v>125</v>
      </c>
      <c r="B12" s="6" t="s">
        <v>425</v>
      </c>
      <c r="C12" s="6" t="s">
        <v>418</v>
      </c>
      <c r="D12" s="6" t="s">
        <v>412</v>
      </c>
      <c r="E12" s="6" t="s">
        <v>416</v>
      </c>
    </row>
    <row r="13" customFormat="false" ht="26.25" hidden="false" customHeight="true" outlineLevel="0" collapsed="false">
      <c r="A13" s="6" t="s">
        <v>132</v>
      </c>
      <c r="B13" s="6" t="s">
        <v>426</v>
      </c>
      <c r="C13" s="6" t="s">
        <v>412</v>
      </c>
      <c r="D13" s="6" t="s">
        <v>413</v>
      </c>
      <c r="E13" s="6" t="s">
        <v>420</v>
      </c>
    </row>
    <row r="15" customFormat="false" ht="15" hidden="false" customHeight="true" outlineLevel="0" collapsed="false">
      <c r="A15" s="15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2026-10-13T13:50:15Z</dcterms:created>
  <dc:creator>openpyxl</dc:creator>
  <dc:description/>
  <dc:language>en-US</dc:language>
  <cp:lastModifiedBy/>
  <dcterms:modified xsi:type="dcterms:W3CDTF">2026-10-13T13:55:43Z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